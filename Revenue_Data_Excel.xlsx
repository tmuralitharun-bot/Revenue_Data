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mura\OneDrive\Desktop\"/>
    </mc:Choice>
  </mc:AlternateContent>
  <xr:revisionPtr revIDLastSave="0" documentId="8_{F3E80D18-2F7C-4B87-9425-65A481706B84}" xr6:coauthVersionLast="47" xr6:coauthVersionMax="47" xr10:uidLastSave="{00000000-0000-0000-0000-000000000000}"/>
  <bookViews>
    <workbookView xWindow="-120" yWindow="-120" windowWidth="20730" windowHeight="11160" activeTab="2" xr2:uid="{65D8F72C-D2D6-4DDE-B2AC-953E33A01AF5}"/>
  </bookViews>
  <sheets>
    <sheet name="Data" sheetId="1" r:id="rId1"/>
    <sheet name="Analyst" sheetId="2" r:id="rId2"/>
    <sheet name="Reporting" sheetId="3" r:id="rId3"/>
  </sheets>
  <definedNames>
    <definedName name="_xlchart.v1.0" hidden="1">Data!$I$2:$I$253</definedName>
    <definedName name="_xlchart.v1.1" hidden="1">Data!$I$2:$I$253</definedName>
  </definedNames>
  <calcPr calcId="191029"/>
  <pivotCaches>
    <pivotCache cacheId="1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" i="3" l="1"/>
  <c r="D8" i="3"/>
  <c r="D9" i="3"/>
  <c r="D10" i="3"/>
  <c r="D6" i="3"/>
  <c r="D12" i="3" s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</calcChain>
</file>

<file path=xl/sharedStrings.xml><?xml version="1.0" encoding="utf-8"?>
<sst xmlns="http://schemas.openxmlformats.org/spreadsheetml/2006/main" count="1095" uniqueCount="78">
  <si>
    <t>sides and other</t>
  </si>
  <si>
    <t>debit card</t>
  </si>
  <si>
    <t>credit card</t>
  </si>
  <si>
    <t>drinks</t>
  </si>
  <si>
    <t>cash</t>
  </si>
  <si>
    <t>hot dogs</t>
  </si>
  <si>
    <t>pizzas</t>
  </si>
  <si>
    <t>gift card</t>
  </si>
  <si>
    <t>burgers</t>
  </si>
  <si>
    <t>New York</t>
  </si>
  <si>
    <t>Order_ID</t>
  </si>
  <si>
    <t>Date</t>
  </si>
  <si>
    <t>Product</t>
  </si>
  <si>
    <t>Price</t>
  </si>
  <si>
    <t>Payment_Method</t>
  </si>
  <si>
    <t>Quantity</t>
  </si>
  <si>
    <t>Manager</t>
  </si>
  <si>
    <t>Column1</t>
  </si>
  <si>
    <t>Elliot Brooks</t>
  </si>
  <si>
    <t>Miami</t>
  </si>
  <si>
    <t>Robert Garcia</t>
  </si>
  <si>
    <t>San Diego</t>
  </si>
  <si>
    <t>Anna Davis</t>
  </si>
  <si>
    <t>San Francisco</t>
  </si>
  <si>
    <t>Priya Desai</t>
  </si>
  <si>
    <t>Jamal River</t>
  </si>
  <si>
    <t>Michael Johson</t>
  </si>
  <si>
    <t>Maria Rodriguez</t>
  </si>
  <si>
    <t>Tasha Nguyen</t>
  </si>
  <si>
    <t>Atlanta</t>
  </si>
  <si>
    <t>Sara Williams</t>
  </si>
  <si>
    <t>Lena Marlowe</t>
  </si>
  <si>
    <t>Los Angeles</t>
  </si>
  <si>
    <t>Boston</t>
  </si>
  <si>
    <t>Chicago</t>
  </si>
  <si>
    <t>Michael Johnson</t>
  </si>
  <si>
    <t>Michael Jhnson</t>
  </si>
  <si>
    <t>Carlos Bennett</t>
  </si>
  <si>
    <t>Jamal Rivers</t>
  </si>
  <si>
    <t>Maria Rodriuez</t>
  </si>
  <si>
    <t>James Brown</t>
  </si>
  <si>
    <t>Jamalrivers</t>
  </si>
  <si>
    <t>Ichael Johnson</t>
  </si>
  <si>
    <t>Tashanguyen</t>
  </si>
  <si>
    <t>Jmes Brown</t>
  </si>
  <si>
    <t>Lenamarlowe</t>
  </si>
  <si>
    <t>Maria Rodiguez</t>
  </si>
  <si>
    <t>Jamesbrown</t>
  </si>
  <si>
    <t>Jaml Rivers</t>
  </si>
  <si>
    <t>Carlos Ennett</t>
  </si>
  <si>
    <t>Carlos Benntt</t>
  </si>
  <si>
    <t>Lena Marowe</t>
  </si>
  <si>
    <t>Manager2</t>
  </si>
  <si>
    <t>City2</t>
  </si>
  <si>
    <t>Revenue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</si>
  <si>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</si>
  <si>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</si>
  <si>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</si>
  <si>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</si>
  <si>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</si>
  <si>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</si>
  <si>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</si>
  <si>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</si>
  <si>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</si>
  <si>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</si>
  <si>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</si>
  <si>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</si>
  <si>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</si>
  <si>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 xml:space="preserve">Best Selling Product </t>
  </si>
  <si>
    <t xml:space="preserve">Revenue break down over time </t>
  </si>
  <si>
    <t>Row Labels</t>
  </si>
  <si>
    <t>Grand Total</t>
  </si>
  <si>
    <t>Sum of Quantity</t>
  </si>
  <si>
    <t>Client Request</t>
  </si>
  <si>
    <t>Result</t>
  </si>
  <si>
    <t>Sum of Revenue</t>
  </si>
  <si>
    <t>Revenue break down over city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</si>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</sst>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/mmm/yyyy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readingOrder="1"/>
    </xf>
    <xf numFmtId="0" fontId="2" fillId="2" borderId="1" xfId="0" applyFont="1" applyFill="1" applyBorder="1" applyAlignment="1">
      <alignment horizontal="center" vertical="center" readingOrder="1"/>
    </xf>
    <xf numFmtId="0" fontId="0" fillId="0" borderId="0" xfId="0" applyBorder="1" applyAlignment="1">
      <alignment horizontal="center"/>
    </xf>
    <xf numFmtId="0" fontId="2" fillId="2" borderId="0" xfId="0" applyFont="1" applyFill="1" applyBorder="1" applyAlignment="1">
      <alignment horizontal="center" readingOrder="1"/>
    </xf>
    <xf numFmtId="0" fontId="2" fillId="2" borderId="2" xfId="0" applyFont="1" applyFill="1" applyBorder="1" applyAlignment="1">
      <alignment horizontal="center" readingOrder="1"/>
    </xf>
    <xf numFmtId="0" fontId="2" fillId="2" borderId="6" xfId="0" applyFont="1" applyFill="1" applyBorder="1" applyAlignment="1">
      <alignment horizontal="center" readingOrder="1"/>
    </xf>
    <xf numFmtId="0" fontId="2" fillId="2" borderId="7" xfId="0" applyFont="1" applyFill="1" applyBorder="1" applyAlignment="1">
      <alignment horizontal="center" readingOrder="1"/>
    </xf>
    <xf numFmtId="0" fontId="2" fillId="2" borderId="7" xfId="0" applyFont="1" applyFill="1" applyBorder="1" applyAlignment="1">
      <alignment horizontal="center" vertical="center" readingOrder="1"/>
    </xf>
    <xf numFmtId="0" fontId="2" fillId="2" borderId="4" xfId="0" applyFont="1" applyFill="1" applyBorder="1" applyAlignment="1">
      <alignment horizontal="center" readingOrder="1"/>
    </xf>
    <xf numFmtId="166" fontId="2" fillId="2" borderId="1" xfId="0" applyNumberFormat="1" applyFont="1" applyFill="1" applyBorder="1" applyAlignment="1">
      <alignment horizontal="center" readingOrder="1"/>
    </xf>
    <xf numFmtId="166" fontId="2" fillId="2" borderId="7" xfId="0" applyNumberFormat="1" applyFont="1" applyFill="1" applyBorder="1" applyAlignment="1">
      <alignment horizontal="center" readingOrder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1" xfId="0" pivotButton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1" fillId="6" borderId="0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</cellXfs>
  <cellStyles count="1">
    <cellStyle name="Normal" xfId="0" builtinId="0"/>
  </cellStyles>
  <dxfs count="9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6" formatCode="dd/mmm/yyyy"/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1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[Revenue_Data_Excel.xlsx]Analyst!PivotTable2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Revenue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Analyst!$B$14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Analyst!$A$15:$A$31</c:f>
              <c:strCache>
                <c:ptCount val="17"/>
                <c:pt idx="0">
                  <c:v>01-Jan-2023</c:v>
                </c:pt>
                <c:pt idx="1">
                  <c:v>02-Jan-2023</c:v>
                </c:pt>
                <c:pt idx="2">
                  <c:v>03-Jan-2023</c:v>
                </c:pt>
                <c:pt idx="3">
                  <c:v>04-Jan-2023</c:v>
                </c:pt>
                <c:pt idx="4">
                  <c:v>05-Jan-2023</c:v>
                </c:pt>
                <c:pt idx="5">
                  <c:v>06-Jan-2023</c:v>
                </c:pt>
                <c:pt idx="6">
                  <c:v>07-Jan-2023</c:v>
                </c:pt>
                <c:pt idx="7">
                  <c:v>08-Jan-2023</c:v>
                </c:pt>
                <c:pt idx="8">
                  <c:v>09-Jan-2023</c:v>
                </c:pt>
                <c:pt idx="9">
                  <c:v>10-Jan-2023</c:v>
                </c:pt>
                <c:pt idx="10">
                  <c:v>11-Jan-2023</c:v>
                </c:pt>
                <c:pt idx="11">
                  <c:v>12-Jan-2023</c:v>
                </c:pt>
                <c:pt idx="12">
                  <c:v>13-Jan-2023</c:v>
                </c:pt>
                <c:pt idx="13">
                  <c:v>14-Jan-2023</c:v>
                </c:pt>
                <c:pt idx="14">
                  <c:v>15-Jan-2023</c:v>
                </c:pt>
                <c:pt idx="15">
                  <c:v>16-Jan-2023</c:v>
                </c:pt>
                <c:pt idx="16">
                  <c:v>17-Jan-2023</c:v>
                </c:pt>
              </c:strCache>
            </c:strRef>
          </c:cat>
          <c:val>
            <c:numRef>
              <c:f>Analyst!$B$15:$B$31</c:f>
              <c:numCache>
                <c:formatCode>#,##0.00</c:formatCode>
                <c:ptCount val="17"/>
                <c:pt idx="0">
                  <c:v>44255.7</c:v>
                </c:pt>
                <c:pt idx="1">
                  <c:v>51704.42</c:v>
                </c:pt>
                <c:pt idx="2">
                  <c:v>52201.510000000017</c:v>
                </c:pt>
                <c:pt idx="3">
                  <c:v>61842.79</c:v>
                </c:pt>
                <c:pt idx="4">
                  <c:v>54357.91</c:v>
                </c:pt>
                <c:pt idx="5">
                  <c:v>77924.650000000009</c:v>
                </c:pt>
                <c:pt idx="6">
                  <c:v>62851.7</c:v>
                </c:pt>
                <c:pt idx="7">
                  <c:v>80303.740000000005</c:v>
                </c:pt>
                <c:pt idx="8">
                  <c:v>54883.590000000004</c:v>
                </c:pt>
                <c:pt idx="9">
                  <c:v>83800.999999999985</c:v>
                </c:pt>
                <c:pt idx="10">
                  <c:v>47159.59</c:v>
                </c:pt>
                <c:pt idx="11">
                  <c:v>58510.77</c:v>
                </c:pt>
                <c:pt idx="12">
                  <c:v>45155.44</c:v>
                </c:pt>
                <c:pt idx="13">
                  <c:v>79599.400000000009</c:v>
                </c:pt>
                <c:pt idx="14">
                  <c:v>38305.68</c:v>
                </c:pt>
                <c:pt idx="15">
                  <c:v>71598.58</c:v>
                </c:pt>
                <c:pt idx="16">
                  <c:v>39204.03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1F-49E4-B04A-0A3DBCAC182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72540528"/>
        <c:axId val="572538128"/>
      </c:lineChart>
      <c:catAx>
        <c:axId val="572540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538128"/>
        <c:crosses val="autoZero"/>
        <c:auto val="1"/>
        <c:lblAlgn val="ctr"/>
        <c:lblOffset val="100"/>
        <c:noMultiLvlLbl val="0"/>
      </c:catAx>
      <c:valAx>
        <c:axId val="57253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540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Over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Atlanta</c:v>
              </c:pt>
              <c:pt idx="1">
                <c:v>Miami</c:v>
              </c:pt>
              <c:pt idx="2">
                <c:v>San Francisco</c:v>
              </c:pt>
              <c:pt idx="3">
                <c:v>Boston</c:v>
              </c:pt>
              <c:pt idx="4">
                <c:v>San Diego</c:v>
              </c:pt>
              <c:pt idx="5">
                <c:v>Los Angeles</c:v>
              </c:pt>
              <c:pt idx="6">
                <c:v>Chicago</c:v>
              </c:pt>
              <c:pt idx="7">
                <c:v>New York</c:v>
              </c:pt>
            </c:strLit>
          </c:cat>
          <c:val>
            <c:numLit>
              <c:formatCode>General</c:formatCode>
              <c:ptCount val="8"/>
              <c:pt idx="0">
                <c:v>152707.91</c:v>
              </c:pt>
              <c:pt idx="1">
                <c:v>152093.1</c:v>
              </c:pt>
              <c:pt idx="2">
                <c:v>131076.07</c:v>
              </c:pt>
              <c:pt idx="3">
                <c:v>119712.76000000001</c:v>
              </c:pt>
              <c:pt idx="4">
                <c:v>117813.20000000001</c:v>
              </c:pt>
              <c:pt idx="5">
                <c:v>117420.54999999999</c:v>
              </c:pt>
              <c:pt idx="6">
                <c:v>107107.84000000003</c:v>
              </c:pt>
              <c:pt idx="7">
                <c:v>105729.07000000002</c:v>
              </c:pt>
            </c:numLit>
          </c:val>
          <c:extLst>
            <c:ext xmlns:c16="http://schemas.microsoft.com/office/drawing/2014/chart" uri="{C3380CC4-5D6E-409C-BE32-E72D297353CC}">
              <c16:uniqueId val="{00000000-FAA6-4336-AC2A-4A24564E72E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42640592"/>
        <c:axId val="442642512"/>
      </c:barChart>
      <c:catAx>
        <c:axId val="442640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642512"/>
        <c:crosses val="autoZero"/>
        <c:auto val="1"/>
        <c:lblAlgn val="ctr"/>
        <c:lblOffset val="100"/>
        <c:noMultiLvlLbl val="0"/>
      </c:catAx>
      <c:valAx>
        <c:axId val="44264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640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boxWhisker" uniqueId="{8DAFF7BD-45DF-408C-A72D-3BF96F9CB284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17</xdr:row>
      <xdr:rowOff>28575</xdr:rowOff>
    </xdr:from>
    <xdr:to>
      <xdr:col>14</xdr:col>
      <xdr:colOff>533400</xdr:colOff>
      <xdr:row>31</xdr:row>
      <xdr:rowOff>109537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BF50308F-D058-439D-1429-3EEFE60C42E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15375" y="3267075"/>
              <a:ext cx="3714750" cy="274796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11903</xdr:colOff>
      <xdr:row>14</xdr:row>
      <xdr:rowOff>1</xdr:rowOff>
    </xdr:from>
    <xdr:to>
      <xdr:col>15</xdr:col>
      <xdr:colOff>119061</xdr:colOff>
      <xdr:row>30</xdr:row>
      <xdr:rowOff>178595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2A0DD3-E672-39B2-452D-A2F6F05411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23811</xdr:colOff>
      <xdr:row>0</xdr:row>
      <xdr:rowOff>23813</xdr:rowOff>
    </xdr:from>
    <xdr:to>
      <xdr:col>12</xdr:col>
      <xdr:colOff>916781</xdr:colOff>
      <xdr:row>12</xdr:row>
      <xdr:rowOff>178595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CF5C3A-5AA6-A68F-E6C5-9C7DC5F11B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arun iniyan" refreshedDate="46202.450835648146" createdVersion="8" refreshedVersion="8" minRefreshableVersion="3" recordCount="252" xr:uid="{5D17F861-AEAE-4145-BA72-64D04F77CFCF}">
  <cacheSource type="worksheet">
    <worksheetSource name="Orders"/>
  </cacheSource>
  <cacheFields count="9">
    <cacheField name="Order_ID" numFmtId="0">
      <sharedItems containsSemiMixedTypes="0" containsString="0" containsNumber="1" containsInteger="1" minValue="1" maxValue="252"/>
    </cacheField>
    <cacheField name="Date" numFmtId="166">
      <sharedItems containsSemiMixedTypes="0" containsNonDate="0" containsDate="1" containsString="0" minDate="2023-01-01T00:00:00" maxDate="2023-01-18T00:00:00" count="17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</sharedItems>
    </cacheField>
    <cacheField name="Product" numFmtId="0">
      <sharedItems count="5">
        <s v="drinks"/>
        <s v="hot dogs"/>
        <s v="pizzas"/>
        <s v="sides and other"/>
        <s v="burgers"/>
      </sharedItems>
    </cacheField>
    <cacheField name="Price" numFmtId="0">
      <sharedItems containsSemiMixedTypes="0" containsString="0" containsNumber="1" minValue="1.99" maxValue="14.99"/>
    </cacheField>
    <cacheField name="Quantity" numFmtId="0">
      <sharedItems containsSemiMixedTypes="0" containsString="0" containsNumber="1" containsInteger="1" minValue="106" maxValue="898"/>
    </cacheField>
    <cacheField name="Payment_Method" numFmtId="0">
      <sharedItems/>
    </cacheField>
    <cacheField name="Manager2" numFmtId="0">
      <sharedItems count="27">
        <s v="Elliot Brooks"/>
        <s v="Robert Garcia"/>
        <s v="Anna Davis"/>
        <s v="Priya Desai"/>
        <s v="Jamal River"/>
        <s v="Michael Johson"/>
        <s v="Maria Rodriguez"/>
        <s v="Tasha Nguyen"/>
        <s v="Sara Williams"/>
        <s v="Lena Marlowe"/>
        <s v="Michael Johnson"/>
        <s v="Michael Jhnson"/>
        <s v="Carlos Bennett"/>
        <s v="Jamal Rivers"/>
        <s v="Maria Rodriuez"/>
        <s v="James Brown"/>
        <s v="Jamalrivers"/>
        <s v="Ichael Johnson"/>
        <s v="Tashanguyen"/>
        <s v="Jmes Brown"/>
        <s v="Lenamarlowe"/>
        <s v="Maria Rodiguez"/>
        <s v="Jamesbrown"/>
        <s v="Jaml Rivers"/>
        <s v="Carlos Ennett"/>
        <s v="Carlos Benntt"/>
        <s v="Lena Marowe"/>
      </sharedItems>
    </cacheField>
    <cacheField name="City2" numFmtId="0">
      <sharedItems count="8">
        <s v="Miami"/>
        <s v="San Diego"/>
        <s v="San Francisco"/>
        <s v="New York"/>
        <s v="Atlanta"/>
        <s v="Los Angeles"/>
        <s v="Boston"/>
        <s v="Chicago"/>
      </sharedItems>
    </cacheField>
    <cacheField name="Revenue" numFmtId="0">
      <sharedItems containsSemiMixedTypes="0" containsString="0" containsNumber="1" minValue="344.27" maxValue="13326.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2">
  <r>
    <n v="1"/>
    <x v="0"/>
    <x v="0"/>
    <n v="1.99"/>
    <n v="676"/>
    <s v="credit card"/>
    <x v="0"/>
    <x v="0"/>
    <n v="1345.24"/>
  </r>
  <r>
    <n v="2"/>
    <x v="0"/>
    <x v="1"/>
    <n v="3.99"/>
    <n v="568"/>
    <s v="cash"/>
    <x v="1"/>
    <x v="1"/>
    <n v="2266.3200000000002"/>
  </r>
  <r>
    <n v="3"/>
    <x v="0"/>
    <x v="2"/>
    <n v="6.99"/>
    <n v="611"/>
    <s v="debit card"/>
    <x v="2"/>
    <x v="2"/>
    <n v="4270.8900000000003"/>
  </r>
  <r>
    <n v="4"/>
    <x v="0"/>
    <x v="1"/>
    <n v="12.99"/>
    <n v="274"/>
    <s v="debit card"/>
    <x v="3"/>
    <x v="3"/>
    <n v="3559.26"/>
  </r>
  <r>
    <n v="5"/>
    <x v="0"/>
    <x v="1"/>
    <n v="6.99"/>
    <n v="880"/>
    <s v="debit card"/>
    <x v="4"/>
    <x v="0"/>
    <n v="6151.2"/>
  </r>
  <r>
    <n v="6"/>
    <x v="0"/>
    <x v="1"/>
    <n v="6.99"/>
    <n v="880"/>
    <s v="debit card"/>
    <x v="4"/>
    <x v="0"/>
    <n v="6151.2"/>
  </r>
  <r>
    <n v="7"/>
    <x v="0"/>
    <x v="2"/>
    <n v="6.99"/>
    <n v="675"/>
    <s v="debit card"/>
    <x v="5"/>
    <x v="2"/>
    <n v="4718.25"/>
  </r>
  <r>
    <n v="8"/>
    <x v="0"/>
    <x v="3"/>
    <n v="12.99"/>
    <n v="488"/>
    <s v="gift card"/>
    <x v="6"/>
    <x v="2"/>
    <n v="6339.12"/>
  </r>
  <r>
    <n v="9"/>
    <x v="0"/>
    <x v="3"/>
    <n v="1.99"/>
    <n v="441"/>
    <s v="gift card"/>
    <x v="7"/>
    <x v="0"/>
    <n v="877.59"/>
  </r>
  <r>
    <n v="10"/>
    <x v="0"/>
    <x v="4"/>
    <n v="1.99"/>
    <n v="536"/>
    <s v="debit card"/>
    <x v="7"/>
    <x v="3"/>
    <n v="1066.6400000000001"/>
  </r>
  <r>
    <n v="11"/>
    <x v="0"/>
    <x v="4"/>
    <n v="14.99"/>
    <n v="501"/>
    <s v="debit card"/>
    <x v="6"/>
    <x v="4"/>
    <n v="7509.99"/>
  </r>
  <r>
    <n v="12"/>
    <x v="1"/>
    <x v="2"/>
    <n v="14.99"/>
    <n v="177"/>
    <s v="cash"/>
    <x v="8"/>
    <x v="2"/>
    <n v="2653.23"/>
  </r>
  <r>
    <n v="13"/>
    <x v="1"/>
    <x v="3"/>
    <n v="12.99"/>
    <n v="343"/>
    <s v="credit card"/>
    <x v="9"/>
    <x v="0"/>
    <n v="4455.57"/>
  </r>
  <r>
    <n v="14"/>
    <x v="1"/>
    <x v="3"/>
    <n v="1.99"/>
    <n v="690"/>
    <s v="debit card"/>
    <x v="2"/>
    <x v="5"/>
    <n v="1373.1"/>
  </r>
  <r>
    <n v="15"/>
    <x v="1"/>
    <x v="0"/>
    <n v="1.99"/>
    <n v="192"/>
    <s v="cash"/>
    <x v="3"/>
    <x v="0"/>
    <n v="382.08"/>
  </r>
  <r>
    <n v="16"/>
    <x v="1"/>
    <x v="1"/>
    <n v="3.99"/>
    <n v="178"/>
    <s v="cash"/>
    <x v="0"/>
    <x v="3"/>
    <n v="710.22"/>
  </r>
  <r>
    <n v="17"/>
    <x v="1"/>
    <x v="0"/>
    <n v="6.99"/>
    <n v="489"/>
    <s v="cash"/>
    <x v="7"/>
    <x v="6"/>
    <n v="3418.11"/>
  </r>
  <r>
    <n v="18"/>
    <x v="1"/>
    <x v="0"/>
    <n v="3.99"/>
    <n v="487"/>
    <s v="debit card"/>
    <x v="3"/>
    <x v="5"/>
    <n v="1943.13"/>
  </r>
  <r>
    <n v="19"/>
    <x v="1"/>
    <x v="0"/>
    <n v="3.99"/>
    <n v="347"/>
    <s v="debit card"/>
    <x v="3"/>
    <x v="5"/>
    <n v="1384.53"/>
  </r>
  <r>
    <n v="20"/>
    <x v="1"/>
    <x v="3"/>
    <n v="3.99"/>
    <n v="602"/>
    <s v="gift card"/>
    <x v="2"/>
    <x v="7"/>
    <n v="2401.98"/>
  </r>
  <r>
    <n v="21"/>
    <x v="1"/>
    <x v="4"/>
    <n v="1.99"/>
    <n v="445"/>
    <s v="credit card"/>
    <x v="3"/>
    <x v="7"/>
    <n v="885.55"/>
  </r>
  <r>
    <n v="22"/>
    <x v="1"/>
    <x v="4"/>
    <n v="14.99"/>
    <n v="464"/>
    <s v="gift card"/>
    <x v="6"/>
    <x v="7"/>
    <n v="6955.36"/>
  </r>
  <r>
    <n v="23"/>
    <x v="1"/>
    <x v="2"/>
    <n v="14.99"/>
    <n v="594"/>
    <s v="credit card"/>
    <x v="10"/>
    <x v="5"/>
    <n v="8904.06"/>
  </r>
  <r>
    <n v="24"/>
    <x v="1"/>
    <x v="2"/>
    <n v="12.99"/>
    <n v="214"/>
    <s v="gift card"/>
    <x v="1"/>
    <x v="7"/>
    <n v="2779.86"/>
  </r>
  <r>
    <n v="25"/>
    <x v="1"/>
    <x v="2"/>
    <n v="12.99"/>
    <n v="791"/>
    <s v="debit card"/>
    <x v="0"/>
    <x v="6"/>
    <n v="10275.09"/>
  </r>
  <r>
    <n v="26"/>
    <x v="1"/>
    <x v="2"/>
    <n v="12.99"/>
    <n v="245"/>
    <s v="gift card"/>
    <x v="10"/>
    <x v="1"/>
    <n v="3182.55"/>
  </r>
  <r>
    <n v="27"/>
    <x v="2"/>
    <x v="0"/>
    <n v="12.99"/>
    <n v="582"/>
    <s v="gift card"/>
    <x v="11"/>
    <x v="4"/>
    <n v="7560.18"/>
  </r>
  <r>
    <n v="28"/>
    <x v="2"/>
    <x v="4"/>
    <n v="3.99"/>
    <n v="263"/>
    <s v="debit card"/>
    <x v="6"/>
    <x v="0"/>
    <n v="1049.3700000000001"/>
  </r>
  <r>
    <n v="29"/>
    <x v="2"/>
    <x v="0"/>
    <n v="14.99"/>
    <n v="136"/>
    <s v="credit card"/>
    <x v="12"/>
    <x v="0"/>
    <n v="2038.64"/>
  </r>
  <r>
    <n v="30"/>
    <x v="2"/>
    <x v="4"/>
    <n v="3.99"/>
    <n v="836"/>
    <s v="credit card"/>
    <x v="1"/>
    <x v="5"/>
    <n v="3335.6400000000003"/>
  </r>
  <r>
    <n v="31"/>
    <x v="2"/>
    <x v="4"/>
    <n v="14.99"/>
    <n v="511"/>
    <s v="cash"/>
    <x v="13"/>
    <x v="5"/>
    <n v="7659.89"/>
  </r>
  <r>
    <n v="32"/>
    <x v="2"/>
    <x v="3"/>
    <n v="14.99"/>
    <n v="353"/>
    <s v="debit card"/>
    <x v="6"/>
    <x v="1"/>
    <n v="5291.47"/>
  </r>
  <r>
    <n v="33"/>
    <x v="2"/>
    <x v="3"/>
    <n v="1.99"/>
    <n v="467"/>
    <s v="cash"/>
    <x v="8"/>
    <x v="4"/>
    <n v="929.33"/>
  </r>
  <r>
    <n v="34"/>
    <x v="2"/>
    <x v="1"/>
    <n v="1.99"/>
    <n v="236"/>
    <s v="debit card"/>
    <x v="12"/>
    <x v="5"/>
    <n v="469.64"/>
  </r>
  <r>
    <n v="35"/>
    <x v="2"/>
    <x v="0"/>
    <n v="6.99"/>
    <n v="645"/>
    <s v="cash"/>
    <x v="10"/>
    <x v="5"/>
    <n v="4508.55"/>
  </r>
  <r>
    <n v="36"/>
    <x v="2"/>
    <x v="0"/>
    <n v="3.99"/>
    <n v="409"/>
    <s v="gift card"/>
    <x v="0"/>
    <x v="3"/>
    <n v="1631.91"/>
  </r>
  <r>
    <n v="37"/>
    <x v="2"/>
    <x v="4"/>
    <n v="3.99"/>
    <n v="338"/>
    <s v="cash"/>
    <x v="3"/>
    <x v="2"/>
    <n v="1348.6200000000001"/>
  </r>
  <r>
    <n v="38"/>
    <x v="2"/>
    <x v="1"/>
    <n v="14.99"/>
    <n v="539"/>
    <s v="credit card"/>
    <x v="12"/>
    <x v="4"/>
    <n v="8079.61"/>
  </r>
  <r>
    <n v="39"/>
    <x v="2"/>
    <x v="1"/>
    <n v="6.99"/>
    <n v="107"/>
    <s v="debit card"/>
    <x v="9"/>
    <x v="7"/>
    <n v="747.93000000000006"/>
  </r>
  <r>
    <n v="40"/>
    <x v="2"/>
    <x v="2"/>
    <n v="6.99"/>
    <n v="532"/>
    <s v="cash"/>
    <x v="2"/>
    <x v="2"/>
    <n v="3718.6800000000003"/>
  </r>
  <r>
    <n v="41"/>
    <x v="2"/>
    <x v="4"/>
    <n v="12.99"/>
    <n v="295"/>
    <s v="credit card"/>
    <x v="8"/>
    <x v="3"/>
    <n v="3832.05"/>
  </r>
  <r>
    <n v="42"/>
    <x v="3"/>
    <x v="1"/>
    <n v="14.99"/>
    <n v="757"/>
    <s v="gift card"/>
    <x v="6"/>
    <x v="3"/>
    <n v="11347.43"/>
  </r>
  <r>
    <n v="43"/>
    <x v="3"/>
    <x v="1"/>
    <n v="6.99"/>
    <n v="376"/>
    <s v="debit card"/>
    <x v="7"/>
    <x v="1"/>
    <n v="2628.2400000000002"/>
  </r>
  <r>
    <n v="44"/>
    <x v="3"/>
    <x v="0"/>
    <n v="6.99"/>
    <n v="376"/>
    <s v="debit card"/>
    <x v="7"/>
    <x v="1"/>
    <n v="2628.2400000000002"/>
  </r>
  <r>
    <n v="45"/>
    <x v="3"/>
    <x v="3"/>
    <n v="3.99"/>
    <n v="303"/>
    <s v="debit card"/>
    <x v="1"/>
    <x v="6"/>
    <n v="1208.97"/>
  </r>
  <r>
    <n v="46"/>
    <x v="3"/>
    <x v="0"/>
    <n v="1.99"/>
    <n v="466"/>
    <s v="credit card"/>
    <x v="3"/>
    <x v="6"/>
    <n v="927.34"/>
  </r>
  <r>
    <n v="47"/>
    <x v="3"/>
    <x v="3"/>
    <n v="3.99"/>
    <n v="752"/>
    <s v="gift card"/>
    <x v="9"/>
    <x v="6"/>
    <n v="3000.48"/>
  </r>
  <r>
    <n v="48"/>
    <x v="3"/>
    <x v="2"/>
    <n v="1.99"/>
    <n v="497"/>
    <s v="cash"/>
    <x v="6"/>
    <x v="5"/>
    <n v="989.03"/>
  </r>
  <r>
    <n v="49"/>
    <x v="3"/>
    <x v="1"/>
    <n v="12.99"/>
    <n v="766"/>
    <s v="gift card"/>
    <x v="14"/>
    <x v="0"/>
    <n v="9950.34"/>
  </r>
  <r>
    <n v="50"/>
    <x v="3"/>
    <x v="4"/>
    <n v="6.99"/>
    <n v="641"/>
    <s v="gift card"/>
    <x v="15"/>
    <x v="6"/>
    <n v="4480.59"/>
  </r>
  <r>
    <n v="51"/>
    <x v="3"/>
    <x v="4"/>
    <n v="14.99"/>
    <n v="448"/>
    <s v="credit card"/>
    <x v="8"/>
    <x v="4"/>
    <n v="6715.52"/>
  </r>
  <r>
    <n v="52"/>
    <x v="3"/>
    <x v="2"/>
    <n v="14.99"/>
    <n v="376"/>
    <s v="cash"/>
    <x v="2"/>
    <x v="6"/>
    <n v="5636.24"/>
  </r>
  <r>
    <n v="53"/>
    <x v="3"/>
    <x v="3"/>
    <n v="12.99"/>
    <n v="605"/>
    <s v="credit card"/>
    <x v="6"/>
    <x v="2"/>
    <n v="7858.95"/>
  </r>
  <r>
    <n v="54"/>
    <x v="3"/>
    <x v="3"/>
    <n v="1.99"/>
    <n v="236"/>
    <s v="gift card"/>
    <x v="8"/>
    <x v="6"/>
    <n v="469.64"/>
  </r>
  <r>
    <n v="55"/>
    <x v="3"/>
    <x v="3"/>
    <n v="1.99"/>
    <n v="250"/>
    <s v="cash"/>
    <x v="7"/>
    <x v="6"/>
    <n v="497.5"/>
  </r>
  <r>
    <n v="56"/>
    <x v="3"/>
    <x v="0"/>
    <n v="1.99"/>
    <n v="586"/>
    <s v="debit card"/>
    <x v="0"/>
    <x v="6"/>
    <n v="1166.1400000000001"/>
  </r>
  <r>
    <n v="57"/>
    <x v="3"/>
    <x v="0"/>
    <n v="3.99"/>
    <n v="586"/>
    <s v="credit card"/>
    <x v="2"/>
    <x v="3"/>
    <n v="2338.1400000000003"/>
  </r>
  <r>
    <n v="58"/>
    <x v="4"/>
    <x v="0"/>
    <n v="3.99"/>
    <n v="760"/>
    <s v="cash"/>
    <x v="16"/>
    <x v="0"/>
    <n v="3032.4"/>
  </r>
  <r>
    <n v="59"/>
    <x v="4"/>
    <x v="1"/>
    <n v="3.99"/>
    <n v="336"/>
    <s v="credit card"/>
    <x v="7"/>
    <x v="6"/>
    <n v="1340.64"/>
  </r>
  <r>
    <n v="60"/>
    <x v="4"/>
    <x v="2"/>
    <n v="6.99"/>
    <n v="434"/>
    <s v="debit card"/>
    <x v="2"/>
    <x v="5"/>
    <n v="3033.6600000000003"/>
  </r>
  <r>
    <n v="61"/>
    <x v="4"/>
    <x v="2"/>
    <n v="12.99"/>
    <n v="345"/>
    <s v="credit card"/>
    <x v="10"/>
    <x v="3"/>
    <n v="4481.55"/>
  </r>
  <r>
    <n v="62"/>
    <x v="4"/>
    <x v="4"/>
    <n v="12.99"/>
    <n v="411"/>
    <s v="gift card"/>
    <x v="0"/>
    <x v="6"/>
    <n v="5338.89"/>
  </r>
  <r>
    <n v="63"/>
    <x v="4"/>
    <x v="4"/>
    <n v="14.99"/>
    <n v="273"/>
    <s v="cash"/>
    <x v="8"/>
    <x v="6"/>
    <n v="4092.27"/>
  </r>
  <r>
    <n v="64"/>
    <x v="4"/>
    <x v="2"/>
    <n v="14.99"/>
    <n v="749"/>
    <s v="gift card"/>
    <x v="7"/>
    <x v="4"/>
    <n v="11227.51"/>
  </r>
  <r>
    <n v="65"/>
    <x v="4"/>
    <x v="1"/>
    <n v="12.99"/>
    <n v="233"/>
    <s v="cash"/>
    <x v="15"/>
    <x v="4"/>
    <n v="3026.67"/>
  </r>
  <r>
    <n v="66"/>
    <x v="4"/>
    <x v="0"/>
    <n v="6.99"/>
    <n v="358"/>
    <s v="credit card"/>
    <x v="12"/>
    <x v="0"/>
    <n v="2502.42"/>
  </r>
  <r>
    <n v="67"/>
    <x v="4"/>
    <x v="1"/>
    <n v="3.99"/>
    <n v="213"/>
    <s v="cash"/>
    <x v="10"/>
    <x v="0"/>
    <n v="849.87"/>
  </r>
  <r>
    <n v="68"/>
    <x v="4"/>
    <x v="2"/>
    <n v="6.99"/>
    <n v="555"/>
    <s v="debit card"/>
    <x v="8"/>
    <x v="2"/>
    <n v="3879.4500000000003"/>
  </r>
  <r>
    <n v="69"/>
    <x v="4"/>
    <x v="2"/>
    <n v="12.99"/>
    <n v="263"/>
    <s v="cash"/>
    <x v="1"/>
    <x v="2"/>
    <n v="3416.37"/>
  </r>
  <r>
    <n v="70"/>
    <x v="4"/>
    <x v="0"/>
    <n v="12.99"/>
    <n v="259"/>
    <s v="credit card"/>
    <x v="8"/>
    <x v="4"/>
    <n v="3364.41"/>
  </r>
  <r>
    <n v="71"/>
    <x v="4"/>
    <x v="1"/>
    <n v="3.99"/>
    <n v="786"/>
    <s v="cash"/>
    <x v="6"/>
    <x v="6"/>
    <n v="3136.1400000000003"/>
  </r>
  <r>
    <n v="72"/>
    <x v="4"/>
    <x v="0"/>
    <n v="6.99"/>
    <n v="234"/>
    <s v="gift card"/>
    <x v="12"/>
    <x v="6"/>
    <n v="1635.66"/>
  </r>
  <r>
    <n v="73"/>
    <x v="5"/>
    <x v="0"/>
    <n v="3.99"/>
    <n v="291"/>
    <s v="gift card"/>
    <x v="2"/>
    <x v="4"/>
    <n v="1161.0900000000001"/>
  </r>
  <r>
    <n v="74"/>
    <x v="5"/>
    <x v="3"/>
    <n v="3.99"/>
    <n v="775"/>
    <s v="credit card"/>
    <x v="7"/>
    <x v="1"/>
    <n v="3092.25"/>
  </r>
  <r>
    <n v="75"/>
    <x v="5"/>
    <x v="1"/>
    <n v="1.99"/>
    <n v="242"/>
    <s v="gift card"/>
    <x v="7"/>
    <x v="3"/>
    <n v="481.58"/>
  </r>
  <r>
    <n v="76"/>
    <x v="5"/>
    <x v="2"/>
    <n v="6.99"/>
    <n v="323"/>
    <s v="debit card"/>
    <x v="9"/>
    <x v="1"/>
    <n v="2257.77"/>
  </r>
  <r>
    <n v="77"/>
    <x v="5"/>
    <x v="0"/>
    <n v="12.99"/>
    <n v="718"/>
    <s v="cash"/>
    <x v="15"/>
    <x v="6"/>
    <n v="9326.82"/>
  </r>
  <r>
    <n v="78"/>
    <x v="5"/>
    <x v="4"/>
    <n v="3.99"/>
    <n v="711"/>
    <s v="credit card"/>
    <x v="8"/>
    <x v="3"/>
    <n v="2836.8900000000003"/>
  </r>
  <r>
    <n v="79"/>
    <x v="5"/>
    <x v="4"/>
    <n v="14.99"/>
    <n v="731"/>
    <s v="debit card"/>
    <x v="3"/>
    <x v="0"/>
    <n v="10957.69"/>
  </r>
  <r>
    <n v="80"/>
    <x v="5"/>
    <x v="4"/>
    <n v="14.99"/>
    <n v="889"/>
    <s v="cash"/>
    <x v="8"/>
    <x v="3"/>
    <n v="13326.11"/>
  </r>
  <r>
    <n v="81"/>
    <x v="5"/>
    <x v="4"/>
    <n v="14.99"/>
    <n v="106"/>
    <s v="cash"/>
    <x v="8"/>
    <x v="2"/>
    <n v="1588.94"/>
  </r>
  <r>
    <n v="82"/>
    <x v="5"/>
    <x v="1"/>
    <n v="14.99"/>
    <n v="445"/>
    <s v="credit card"/>
    <x v="6"/>
    <x v="4"/>
    <n v="6670.55"/>
  </r>
  <r>
    <n v="83"/>
    <x v="5"/>
    <x v="4"/>
    <n v="6.99"/>
    <n v="148"/>
    <s v="gift card"/>
    <x v="10"/>
    <x v="4"/>
    <n v="1034.52"/>
  </r>
  <r>
    <n v="84"/>
    <x v="5"/>
    <x v="4"/>
    <n v="14.99"/>
    <n v="807"/>
    <s v="gift card"/>
    <x v="9"/>
    <x v="4"/>
    <n v="12096.93"/>
  </r>
  <r>
    <n v="85"/>
    <x v="5"/>
    <x v="2"/>
    <n v="14.99"/>
    <n v="260"/>
    <s v="gift card"/>
    <x v="15"/>
    <x v="0"/>
    <n v="3897.4"/>
  </r>
  <r>
    <n v="86"/>
    <x v="5"/>
    <x v="0"/>
    <n v="12.99"/>
    <n v="539"/>
    <s v="debit card"/>
    <x v="15"/>
    <x v="7"/>
    <n v="7001.61"/>
  </r>
  <r>
    <n v="87"/>
    <x v="5"/>
    <x v="4"/>
    <n v="3.99"/>
    <n v="550"/>
    <s v="gift card"/>
    <x v="7"/>
    <x v="4"/>
    <n v="2194.5"/>
  </r>
  <r>
    <n v="88"/>
    <x v="6"/>
    <x v="3"/>
    <n v="14.99"/>
    <n v="575"/>
    <s v="credit card"/>
    <x v="8"/>
    <x v="1"/>
    <n v="8619.25"/>
  </r>
  <r>
    <n v="89"/>
    <x v="6"/>
    <x v="4"/>
    <n v="1.99"/>
    <n v="477"/>
    <s v="credit card"/>
    <x v="15"/>
    <x v="0"/>
    <n v="949.23"/>
  </r>
  <r>
    <n v="90"/>
    <x v="6"/>
    <x v="4"/>
    <n v="14.99"/>
    <n v="634"/>
    <s v="gift card"/>
    <x v="0"/>
    <x v="5"/>
    <n v="9503.66"/>
  </r>
  <r>
    <n v="91"/>
    <x v="6"/>
    <x v="3"/>
    <n v="14.99"/>
    <n v="141"/>
    <s v="gift card"/>
    <x v="2"/>
    <x v="2"/>
    <n v="2113.59"/>
  </r>
  <r>
    <n v="92"/>
    <x v="6"/>
    <x v="3"/>
    <n v="1.99"/>
    <n v="703"/>
    <s v="credit card"/>
    <x v="10"/>
    <x v="5"/>
    <n v="1398.97"/>
  </r>
  <r>
    <n v="93"/>
    <x v="6"/>
    <x v="3"/>
    <n v="1.99"/>
    <n v="547"/>
    <s v="gift card"/>
    <x v="17"/>
    <x v="1"/>
    <n v="1088.53"/>
  </r>
  <r>
    <n v="94"/>
    <x v="6"/>
    <x v="1"/>
    <n v="1.99"/>
    <n v="679"/>
    <s v="debit card"/>
    <x v="12"/>
    <x v="2"/>
    <n v="1351.21"/>
  </r>
  <r>
    <n v="95"/>
    <x v="6"/>
    <x v="0"/>
    <n v="6.99"/>
    <n v="234"/>
    <s v="cash"/>
    <x v="12"/>
    <x v="1"/>
    <n v="1635.66"/>
  </r>
  <r>
    <n v="96"/>
    <x v="6"/>
    <x v="1"/>
    <n v="3.99"/>
    <n v="559"/>
    <s v="credit card"/>
    <x v="15"/>
    <x v="7"/>
    <n v="2230.4100000000003"/>
  </r>
  <r>
    <n v="97"/>
    <x v="6"/>
    <x v="2"/>
    <n v="6.99"/>
    <n v="516"/>
    <s v="credit card"/>
    <x v="1"/>
    <x v="5"/>
    <n v="3606.84"/>
  </r>
  <r>
    <n v="98"/>
    <x v="6"/>
    <x v="4"/>
    <n v="12.99"/>
    <n v="255"/>
    <s v="debit card"/>
    <x v="9"/>
    <x v="2"/>
    <n v="3312.4500000000003"/>
  </r>
  <r>
    <n v="99"/>
    <x v="6"/>
    <x v="2"/>
    <n v="14.99"/>
    <n v="428"/>
    <s v="cash"/>
    <x v="12"/>
    <x v="1"/>
    <n v="6415.72"/>
  </r>
  <r>
    <n v="100"/>
    <x v="6"/>
    <x v="0"/>
    <n v="12.99"/>
    <n v="791"/>
    <s v="debit card"/>
    <x v="1"/>
    <x v="5"/>
    <n v="10275.09"/>
  </r>
  <r>
    <n v="101"/>
    <x v="6"/>
    <x v="4"/>
    <n v="3.99"/>
    <n v="682"/>
    <s v="gift card"/>
    <x v="7"/>
    <x v="0"/>
    <n v="2721.1800000000003"/>
  </r>
  <r>
    <n v="102"/>
    <x v="6"/>
    <x v="2"/>
    <n v="14.99"/>
    <n v="509"/>
    <s v="gift card"/>
    <x v="1"/>
    <x v="7"/>
    <n v="7629.91"/>
  </r>
  <r>
    <n v="103"/>
    <x v="7"/>
    <x v="4"/>
    <n v="12.99"/>
    <n v="829"/>
    <s v="credit card"/>
    <x v="13"/>
    <x v="0"/>
    <n v="10768.710000000001"/>
  </r>
  <r>
    <n v="104"/>
    <x v="7"/>
    <x v="3"/>
    <n v="14.99"/>
    <n v="824"/>
    <s v="credit card"/>
    <x v="12"/>
    <x v="4"/>
    <n v="12351.76"/>
  </r>
  <r>
    <n v="105"/>
    <x v="7"/>
    <x v="1"/>
    <n v="1.99"/>
    <n v="736"/>
    <s v="cash"/>
    <x v="13"/>
    <x v="4"/>
    <n v="1464.64"/>
  </r>
  <r>
    <n v="106"/>
    <x v="7"/>
    <x v="4"/>
    <n v="6.99"/>
    <n v="241"/>
    <s v="gift card"/>
    <x v="6"/>
    <x v="4"/>
    <n v="1684.5900000000001"/>
  </r>
  <r>
    <n v="107"/>
    <x v="7"/>
    <x v="1"/>
    <n v="14.99"/>
    <n v="140"/>
    <s v="debit card"/>
    <x v="9"/>
    <x v="4"/>
    <n v="2098.6"/>
  </r>
  <r>
    <n v="108"/>
    <x v="7"/>
    <x v="1"/>
    <n v="6.99"/>
    <n v="148"/>
    <s v="cash"/>
    <x v="18"/>
    <x v="3"/>
    <n v="1034.52"/>
  </r>
  <r>
    <n v="109"/>
    <x v="7"/>
    <x v="4"/>
    <n v="6.99"/>
    <n v="840"/>
    <s v="cash"/>
    <x v="2"/>
    <x v="0"/>
    <n v="5871.6"/>
  </r>
  <r>
    <n v="110"/>
    <x v="7"/>
    <x v="1"/>
    <n v="14.99"/>
    <n v="337"/>
    <s v="debit card"/>
    <x v="7"/>
    <x v="1"/>
    <n v="5051.63"/>
  </r>
  <r>
    <n v="111"/>
    <x v="7"/>
    <x v="2"/>
    <n v="6.99"/>
    <n v="898"/>
    <s v="credit card"/>
    <x v="1"/>
    <x v="6"/>
    <n v="6277.02"/>
  </r>
  <r>
    <n v="112"/>
    <x v="7"/>
    <x v="1"/>
    <n v="12.99"/>
    <n v="374"/>
    <s v="cash"/>
    <x v="7"/>
    <x v="2"/>
    <n v="4858.26"/>
  </r>
  <r>
    <n v="113"/>
    <x v="7"/>
    <x v="0"/>
    <n v="6.99"/>
    <n v="479"/>
    <s v="cash"/>
    <x v="15"/>
    <x v="0"/>
    <n v="3348.21"/>
  </r>
  <r>
    <n v="114"/>
    <x v="7"/>
    <x v="2"/>
    <n v="3.99"/>
    <n v="385"/>
    <s v="cash"/>
    <x v="3"/>
    <x v="7"/>
    <n v="1536.15"/>
  </r>
  <r>
    <n v="115"/>
    <x v="7"/>
    <x v="4"/>
    <n v="12.99"/>
    <n v="725"/>
    <s v="credit card"/>
    <x v="15"/>
    <x v="2"/>
    <n v="9417.75"/>
  </r>
  <r>
    <n v="116"/>
    <x v="7"/>
    <x v="4"/>
    <n v="14.99"/>
    <n v="722"/>
    <s v="credit card"/>
    <x v="2"/>
    <x v="3"/>
    <n v="10822.78"/>
  </r>
  <r>
    <n v="117"/>
    <x v="7"/>
    <x v="3"/>
    <n v="14.99"/>
    <n v="248"/>
    <s v="credit card"/>
    <x v="3"/>
    <x v="1"/>
    <n v="3717.52"/>
  </r>
  <r>
    <n v="118"/>
    <x v="8"/>
    <x v="4"/>
    <n v="1.99"/>
    <n v="838"/>
    <s v="debit card"/>
    <x v="19"/>
    <x v="5"/>
    <n v="1667.62"/>
  </r>
  <r>
    <n v="119"/>
    <x v="8"/>
    <x v="2"/>
    <n v="14.99"/>
    <n v="304"/>
    <s v="credit card"/>
    <x v="9"/>
    <x v="0"/>
    <n v="4556.96"/>
  </r>
  <r>
    <n v="120"/>
    <x v="8"/>
    <x v="4"/>
    <n v="12.99"/>
    <n v="156"/>
    <s v="gift card"/>
    <x v="10"/>
    <x v="3"/>
    <n v="2026.44"/>
  </r>
  <r>
    <n v="121"/>
    <x v="8"/>
    <x v="2"/>
    <n v="14.99"/>
    <n v="265"/>
    <s v="cash"/>
    <x v="10"/>
    <x v="3"/>
    <n v="3972.35"/>
  </r>
  <r>
    <n v="122"/>
    <x v="8"/>
    <x v="2"/>
    <n v="12.99"/>
    <n v="839"/>
    <s v="cash"/>
    <x v="9"/>
    <x v="1"/>
    <n v="10898.61"/>
  </r>
  <r>
    <n v="123"/>
    <x v="8"/>
    <x v="0"/>
    <n v="12.99"/>
    <n v="370"/>
    <s v="cash"/>
    <x v="15"/>
    <x v="2"/>
    <n v="4806.3"/>
  </r>
  <r>
    <n v="124"/>
    <x v="8"/>
    <x v="2"/>
    <n v="3.99"/>
    <n v="852"/>
    <s v="gift card"/>
    <x v="8"/>
    <x v="3"/>
    <n v="3399.48"/>
  </r>
  <r>
    <n v="125"/>
    <x v="8"/>
    <x v="0"/>
    <n v="12.99"/>
    <n v="220"/>
    <s v="gift card"/>
    <x v="13"/>
    <x v="1"/>
    <n v="2857.8"/>
  </r>
  <r>
    <n v="126"/>
    <x v="8"/>
    <x v="4"/>
    <n v="3.99"/>
    <n v="847"/>
    <s v="gift card"/>
    <x v="20"/>
    <x v="5"/>
    <n v="3379.53"/>
  </r>
  <r>
    <n v="127"/>
    <x v="8"/>
    <x v="3"/>
    <n v="14.99"/>
    <n v="739"/>
    <s v="cash"/>
    <x v="1"/>
    <x v="0"/>
    <n v="11077.61"/>
  </r>
  <r>
    <n v="128"/>
    <x v="8"/>
    <x v="3"/>
    <n v="1.99"/>
    <n v="468"/>
    <s v="debit card"/>
    <x v="9"/>
    <x v="6"/>
    <n v="931.32"/>
  </r>
  <r>
    <n v="129"/>
    <x v="8"/>
    <x v="0"/>
    <n v="1.99"/>
    <n v="339"/>
    <s v="debit card"/>
    <x v="2"/>
    <x v="1"/>
    <n v="674.61"/>
  </r>
  <r>
    <n v="130"/>
    <x v="8"/>
    <x v="0"/>
    <n v="3.99"/>
    <n v="141"/>
    <s v="gift card"/>
    <x v="12"/>
    <x v="7"/>
    <n v="562.59"/>
  </r>
  <r>
    <n v="131"/>
    <x v="8"/>
    <x v="3"/>
    <n v="3.99"/>
    <n v="879"/>
    <s v="credit card"/>
    <x v="1"/>
    <x v="1"/>
    <n v="3507.21"/>
  </r>
  <r>
    <n v="132"/>
    <x v="8"/>
    <x v="4"/>
    <n v="1.99"/>
    <n v="284"/>
    <s v="credit card"/>
    <x v="3"/>
    <x v="4"/>
    <n v="565.16"/>
  </r>
  <r>
    <n v="133"/>
    <x v="9"/>
    <x v="2"/>
    <n v="14.99"/>
    <n v="478"/>
    <s v="debit card"/>
    <x v="9"/>
    <x v="5"/>
    <n v="7165.22"/>
  </r>
  <r>
    <n v="134"/>
    <x v="9"/>
    <x v="3"/>
    <n v="12.99"/>
    <n v="329"/>
    <s v="debit card"/>
    <x v="6"/>
    <x v="6"/>
    <n v="4273.71"/>
  </r>
  <r>
    <n v="135"/>
    <x v="9"/>
    <x v="4"/>
    <n v="1.99"/>
    <n v="324"/>
    <s v="gift card"/>
    <x v="6"/>
    <x v="7"/>
    <n v="644.76"/>
  </r>
  <r>
    <n v="136"/>
    <x v="9"/>
    <x v="4"/>
    <n v="14.99"/>
    <n v="740"/>
    <s v="debit card"/>
    <x v="6"/>
    <x v="5"/>
    <n v="11092.6"/>
  </r>
  <r>
    <n v="137"/>
    <x v="9"/>
    <x v="2"/>
    <n v="14.99"/>
    <n v="811"/>
    <s v="cash"/>
    <x v="9"/>
    <x v="7"/>
    <n v="12156.89"/>
  </r>
  <r>
    <n v="138"/>
    <x v="9"/>
    <x v="4"/>
    <n v="12.99"/>
    <n v="298"/>
    <s v="cash"/>
    <x v="7"/>
    <x v="3"/>
    <n v="3871.02"/>
  </r>
  <r>
    <n v="139"/>
    <x v="9"/>
    <x v="4"/>
    <n v="14.99"/>
    <n v="726"/>
    <s v="cash"/>
    <x v="0"/>
    <x v="3"/>
    <n v="10882.74"/>
  </r>
  <r>
    <n v="140"/>
    <x v="9"/>
    <x v="1"/>
    <n v="14.99"/>
    <n v="644"/>
    <s v="cash"/>
    <x v="21"/>
    <x v="7"/>
    <n v="9653.56"/>
  </r>
  <r>
    <n v="141"/>
    <x v="9"/>
    <x v="0"/>
    <n v="6.99"/>
    <n v="247"/>
    <s v="gift card"/>
    <x v="10"/>
    <x v="1"/>
    <n v="1726.53"/>
  </r>
  <r>
    <n v="142"/>
    <x v="9"/>
    <x v="4"/>
    <n v="3.99"/>
    <n v="457"/>
    <s v="credit card"/>
    <x v="1"/>
    <x v="2"/>
    <n v="1823.43"/>
  </r>
  <r>
    <n v="143"/>
    <x v="9"/>
    <x v="4"/>
    <n v="14.99"/>
    <n v="207"/>
    <s v="gift card"/>
    <x v="2"/>
    <x v="6"/>
    <n v="3102.93"/>
  </r>
  <r>
    <n v="144"/>
    <x v="9"/>
    <x v="3"/>
    <n v="14.99"/>
    <n v="755"/>
    <s v="cash"/>
    <x v="9"/>
    <x v="5"/>
    <n v="11317.45"/>
  </r>
  <r>
    <n v="145"/>
    <x v="9"/>
    <x v="0"/>
    <n v="1.99"/>
    <n v="259"/>
    <s v="gift card"/>
    <x v="7"/>
    <x v="4"/>
    <n v="515.41"/>
  </r>
  <r>
    <n v="146"/>
    <x v="9"/>
    <x v="2"/>
    <n v="3.99"/>
    <n v="427"/>
    <s v="gift card"/>
    <x v="6"/>
    <x v="2"/>
    <n v="1703.73"/>
  </r>
  <r>
    <n v="147"/>
    <x v="9"/>
    <x v="1"/>
    <n v="12.99"/>
    <n v="298"/>
    <s v="credit card"/>
    <x v="2"/>
    <x v="7"/>
    <n v="3871.02"/>
  </r>
  <r>
    <n v="148"/>
    <x v="10"/>
    <x v="4"/>
    <n v="6.99"/>
    <n v="427"/>
    <s v="gift card"/>
    <x v="1"/>
    <x v="0"/>
    <n v="2984.73"/>
  </r>
  <r>
    <n v="149"/>
    <x v="10"/>
    <x v="4"/>
    <n v="14.99"/>
    <n v="279"/>
    <s v="debit card"/>
    <x v="6"/>
    <x v="6"/>
    <n v="4182.21"/>
  </r>
  <r>
    <n v="150"/>
    <x v="10"/>
    <x v="3"/>
    <n v="14.99"/>
    <n v="552"/>
    <s v="cash"/>
    <x v="10"/>
    <x v="3"/>
    <n v="8274.48"/>
  </r>
  <r>
    <n v="151"/>
    <x v="10"/>
    <x v="0"/>
    <n v="1.99"/>
    <n v="514"/>
    <s v="cash"/>
    <x v="7"/>
    <x v="5"/>
    <n v="1022.86"/>
  </r>
  <r>
    <n v="152"/>
    <x v="10"/>
    <x v="0"/>
    <n v="3.99"/>
    <n v="864"/>
    <s v="cash"/>
    <x v="0"/>
    <x v="7"/>
    <n v="3447.36"/>
  </r>
  <r>
    <n v="153"/>
    <x v="10"/>
    <x v="0"/>
    <n v="3.99"/>
    <n v="671"/>
    <s v="cash"/>
    <x v="22"/>
    <x v="4"/>
    <n v="2677.29"/>
  </r>
  <r>
    <n v="154"/>
    <x v="10"/>
    <x v="1"/>
    <n v="3.99"/>
    <n v="668"/>
    <s v="cash"/>
    <x v="6"/>
    <x v="6"/>
    <n v="2665.32"/>
  </r>
  <r>
    <n v="155"/>
    <x v="10"/>
    <x v="2"/>
    <n v="6.99"/>
    <n v="163"/>
    <s v="credit card"/>
    <x v="23"/>
    <x v="5"/>
    <n v="1139.3700000000001"/>
  </r>
  <r>
    <n v="156"/>
    <x v="10"/>
    <x v="1"/>
    <n v="12.99"/>
    <n v="145"/>
    <s v="credit card"/>
    <x v="15"/>
    <x v="2"/>
    <n v="1883.55"/>
  </r>
  <r>
    <n v="157"/>
    <x v="10"/>
    <x v="1"/>
    <n v="6.99"/>
    <n v="115"/>
    <s v="debit card"/>
    <x v="1"/>
    <x v="2"/>
    <n v="803.85"/>
  </r>
  <r>
    <n v="158"/>
    <x v="10"/>
    <x v="4"/>
    <n v="6.99"/>
    <n v="872"/>
    <s v="debit card"/>
    <x v="9"/>
    <x v="3"/>
    <n v="6095.28"/>
  </r>
  <r>
    <n v="159"/>
    <x v="10"/>
    <x v="3"/>
    <n v="14.99"/>
    <n v="242"/>
    <s v="cash"/>
    <x v="1"/>
    <x v="4"/>
    <n v="3627.58"/>
  </r>
  <r>
    <n v="160"/>
    <x v="10"/>
    <x v="2"/>
    <n v="1.99"/>
    <n v="545"/>
    <s v="gift card"/>
    <x v="3"/>
    <x v="4"/>
    <n v="1084.55"/>
  </r>
  <r>
    <n v="161"/>
    <x v="10"/>
    <x v="3"/>
    <n v="12.99"/>
    <n v="483"/>
    <s v="credit card"/>
    <x v="2"/>
    <x v="7"/>
    <n v="6274.17"/>
  </r>
  <r>
    <n v="162"/>
    <x v="10"/>
    <x v="0"/>
    <n v="1.99"/>
    <n v="501"/>
    <s v="debit card"/>
    <x v="10"/>
    <x v="6"/>
    <n v="996.99"/>
  </r>
  <r>
    <n v="163"/>
    <x v="11"/>
    <x v="4"/>
    <n v="3.99"/>
    <n v="427"/>
    <s v="credit card"/>
    <x v="1"/>
    <x v="1"/>
    <n v="1703.73"/>
  </r>
  <r>
    <n v="164"/>
    <x v="11"/>
    <x v="3"/>
    <n v="14.99"/>
    <n v="593"/>
    <s v="cash"/>
    <x v="1"/>
    <x v="2"/>
    <n v="8889.07"/>
  </r>
  <r>
    <n v="165"/>
    <x v="11"/>
    <x v="2"/>
    <n v="1.99"/>
    <n v="416"/>
    <s v="credit card"/>
    <x v="6"/>
    <x v="2"/>
    <n v="827.84"/>
  </r>
  <r>
    <n v="166"/>
    <x v="11"/>
    <x v="3"/>
    <n v="12.99"/>
    <n v="672"/>
    <s v="cash"/>
    <x v="15"/>
    <x v="6"/>
    <n v="8729.2800000000007"/>
  </r>
  <r>
    <n v="167"/>
    <x v="11"/>
    <x v="0"/>
    <n v="1.99"/>
    <n v="753"/>
    <s v="credit card"/>
    <x v="2"/>
    <x v="4"/>
    <n v="1498.47"/>
  </r>
  <r>
    <n v="168"/>
    <x v="11"/>
    <x v="4"/>
    <n v="3.99"/>
    <n v="167"/>
    <s v="gift card"/>
    <x v="4"/>
    <x v="2"/>
    <n v="666.33"/>
  </r>
  <r>
    <n v="169"/>
    <x v="11"/>
    <x v="3"/>
    <n v="14.99"/>
    <n v="598"/>
    <s v="credit card"/>
    <x v="2"/>
    <x v="4"/>
    <n v="8964.02"/>
  </r>
  <r>
    <n v="170"/>
    <x v="11"/>
    <x v="3"/>
    <n v="1.99"/>
    <n v="340"/>
    <s v="gift card"/>
    <x v="0"/>
    <x v="1"/>
    <n v="676.6"/>
  </r>
  <r>
    <n v="171"/>
    <x v="11"/>
    <x v="4"/>
    <n v="1.99"/>
    <n v="695"/>
    <s v="cash"/>
    <x v="10"/>
    <x v="6"/>
    <n v="1383.05"/>
  </r>
  <r>
    <n v="172"/>
    <x v="11"/>
    <x v="2"/>
    <n v="14.99"/>
    <n v="715"/>
    <s v="gift card"/>
    <x v="13"/>
    <x v="0"/>
    <n v="10717.85"/>
  </r>
  <r>
    <n v="173"/>
    <x v="11"/>
    <x v="0"/>
    <n v="12.99"/>
    <n v="215"/>
    <s v="gift card"/>
    <x v="1"/>
    <x v="7"/>
    <n v="2792.85"/>
  </r>
  <r>
    <n v="174"/>
    <x v="11"/>
    <x v="3"/>
    <n v="3.99"/>
    <n v="665"/>
    <s v="debit card"/>
    <x v="9"/>
    <x v="7"/>
    <n v="2653.3500000000004"/>
  </r>
  <r>
    <n v="175"/>
    <x v="11"/>
    <x v="2"/>
    <n v="1.99"/>
    <n v="880"/>
    <s v="credit card"/>
    <x v="3"/>
    <x v="7"/>
    <n v="1751.2"/>
  </r>
  <r>
    <n v="176"/>
    <x v="11"/>
    <x v="3"/>
    <n v="12.99"/>
    <n v="445"/>
    <s v="debit card"/>
    <x v="1"/>
    <x v="1"/>
    <n v="5780.55"/>
  </r>
  <r>
    <n v="177"/>
    <x v="11"/>
    <x v="2"/>
    <n v="1.99"/>
    <n v="742"/>
    <s v="cash"/>
    <x v="1"/>
    <x v="1"/>
    <n v="1476.58"/>
  </r>
  <r>
    <n v="178"/>
    <x v="12"/>
    <x v="3"/>
    <n v="12.99"/>
    <n v="209"/>
    <s v="credit card"/>
    <x v="6"/>
    <x v="5"/>
    <n v="2714.91"/>
  </r>
  <r>
    <n v="179"/>
    <x v="12"/>
    <x v="0"/>
    <n v="1.99"/>
    <n v="847"/>
    <s v="credit card"/>
    <x v="0"/>
    <x v="5"/>
    <n v="1685.53"/>
  </r>
  <r>
    <n v="180"/>
    <x v="12"/>
    <x v="0"/>
    <n v="3.99"/>
    <n v="241"/>
    <s v="debit card"/>
    <x v="6"/>
    <x v="0"/>
    <n v="961.59"/>
  </r>
  <r>
    <n v="181"/>
    <x v="12"/>
    <x v="3"/>
    <n v="3.99"/>
    <n v="385"/>
    <s v="cash"/>
    <x v="0"/>
    <x v="5"/>
    <n v="1536.15"/>
  </r>
  <r>
    <n v="182"/>
    <x v="12"/>
    <x v="4"/>
    <n v="1.99"/>
    <n v="755"/>
    <s v="cash"/>
    <x v="8"/>
    <x v="2"/>
    <n v="1502.45"/>
  </r>
  <r>
    <n v="183"/>
    <x v="12"/>
    <x v="3"/>
    <n v="14.99"/>
    <n v="571"/>
    <s v="debit card"/>
    <x v="12"/>
    <x v="4"/>
    <n v="8559.2900000000009"/>
  </r>
  <r>
    <n v="184"/>
    <x v="12"/>
    <x v="2"/>
    <n v="1.99"/>
    <n v="641"/>
    <s v="cash"/>
    <x v="6"/>
    <x v="6"/>
    <n v="1275.5899999999999"/>
  </r>
  <r>
    <n v="185"/>
    <x v="12"/>
    <x v="1"/>
    <n v="12.99"/>
    <n v="278"/>
    <s v="cash"/>
    <x v="9"/>
    <x v="7"/>
    <n v="3611.2200000000003"/>
  </r>
  <r>
    <n v="186"/>
    <x v="12"/>
    <x v="0"/>
    <n v="6.99"/>
    <n v="214"/>
    <s v="credit card"/>
    <x v="3"/>
    <x v="5"/>
    <n v="1495.8600000000001"/>
  </r>
  <r>
    <n v="187"/>
    <x v="12"/>
    <x v="2"/>
    <n v="3.99"/>
    <n v="323"/>
    <s v="gift card"/>
    <x v="24"/>
    <x v="4"/>
    <n v="1288.77"/>
  </r>
  <r>
    <n v="188"/>
    <x v="12"/>
    <x v="0"/>
    <n v="12.99"/>
    <n v="258"/>
    <s v="cash"/>
    <x v="12"/>
    <x v="1"/>
    <n v="3351.42"/>
  </r>
  <r>
    <n v="189"/>
    <x v="12"/>
    <x v="0"/>
    <n v="3.99"/>
    <n v="738"/>
    <s v="cash"/>
    <x v="7"/>
    <x v="1"/>
    <n v="2944.6200000000003"/>
  </r>
  <r>
    <n v="190"/>
    <x v="12"/>
    <x v="2"/>
    <n v="3.99"/>
    <n v="434"/>
    <s v="cash"/>
    <x v="3"/>
    <x v="1"/>
    <n v="1731.66"/>
  </r>
  <r>
    <n v="191"/>
    <x v="12"/>
    <x v="2"/>
    <n v="12.99"/>
    <n v="461"/>
    <s v="credit card"/>
    <x v="10"/>
    <x v="0"/>
    <n v="5988.39"/>
  </r>
  <r>
    <n v="192"/>
    <x v="12"/>
    <x v="1"/>
    <n v="12.99"/>
    <n v="501"/>
    <s v="gift card"/>
    <x v="6"/>
    <x v="3"/>
    <n v="6507.99"/>
  </r>
  <r>
    <n v="193"/>
    <x v="13"/>
    <x v="2"/>
    <n v="6.99"/>
    <n v="507"/>
    <s v="debit card"/>
    <x v="3"/>
    <x v="2"/>
    <n v="3543.9300000000003"/>
  </r>
  <r>
    <n v="194"/>
    <x v="13"/>
    <x v="0"/>
    <n v="12.99"/>
    <n v="544"/>
    <s v="debit card"/>
    <x v="15"/>
    <x v="0"/>
    <n v="7066.56"/>
  </r>
  <r>
    <n v="195"/>
    <x v="13"/>
    <x v="0"/>
    <n v="3.99"/>
    <n v="673"/>
    <s v="debit card"/>
    <x v="10"/>
    <x v="5"/>
    <n v="2685.27"/>
  </r>
  <r>
    <n v="196"/>
    <x v="13"/>
    <x v="1"/>
    <n v="3.99"/>
    <n v="355"/>
    <s v="debit card"/>
    <x v="7"/>
    <x v="4"/>
    <n v="1416.45"/>
  </r>
  <r>
    <n v="197"/>
    <x v="13"/>
    <x v="3"/>
    <n v="6.99"/>
    <n v="348"/>
    <s v="credit card"/>
    <x v="0"/>
    <x v="1"/>
    <n v="2432.52"/>
  </r>
  <r>
    <n v="198"/>
    <x v="13"/>
    <x v="3"/>
    <n v="1.99"/>
    <n v="873"/>
    <s v="debit card"/>
    <x v="8"/>
    <x v="7"/>
    <n v="1737.27"/>
  </r>
  <r>
    <n v="199"/>
    <x v="13"/>
    <x v="2"/>
    <n v="1.99"/>
    <n v="889"/>
    <s v="debit card"/>
    <x v="12"/>
    <x v="2"/>
    <n v="1769.11"/>
  </r>
  <r>
    <n v="200"/>
    <x v="13"/>
    <x v="1"/>
    <n v="12.99"/>
    <n v="675"/>
    <s v="credit card"/>
    <x v="9"/>
    <x v="2"/>
    <n v="8768.25"/>
  </r>
  <r>
    <n v="201"/>
    <x v="13"/>
    <x v="2"/>
    <n v="6.99"/>
    <n v="601"/>
    <s v="cash"/>
    <x v="1"/>
    <x v="0"/>
    <n v="4200.99"/>
  </r>
  <r>
    <n v="202"/>
    <x v="13"/>
    <x v="4"/>
    <n v="12.99"/>
    <n v="581"/>
    <s v="credit card"/>
    <x v="1"/>
    <x v="0"/>
    <n v="7547.1900000000005"/>
  </r>
  <r>
    <n v="203"/>
    <x v="13"/>
    <x v="2"/>
    <n v="14.99"/>
    <n v="348"/>
    <s v="debit card"/>
    <x v="6"/>
    <x v="7"/>
    <n v="5216.5200000000004"/>
  </r>
  <r>
    <n v="204"/>
    <x v="13"/>
    <x v="0"/>
    <n v="12.99"/>
    <n v="863"/>
    <s v="gift card"/>
    <x v="6"/>
    <x v="2"/>
    <n v="11210.37"/>
  </r>
  <r>
    <n v="205"/>
    <x v="13"/>
    <x v="2"/>
    <n v="3.99"/>
    <n v="879"/>
    <s v="credit card"/>
    <x v="15"/>
    <x v="2"/>
    <n v="3507.21"/>
  </r>
  <r>
    <n v="206"/>
    <x v="13"/>
    <x v="2"/>
    <n v="12.99"/>
    <n v="789"/>
    <s v="cash"/>
    <x v="3"/>
    <x v="5"/>
    <n v="10249.11"/>
  </r>
  <r>
    <n v="207"/>
    <x v="13"/>
    <x v="3"/>
    <n v="12.99"/>
    <n v="635"/>
    <s v="credit card"/>
    <x v="9"/>
    <x v="7"/>
    <n v="8248.65"/>
  </r>
  <r>
    <n v="208"/>
    <x v="14"/>
    <x v="4"/>
    <n v="1.99"/>
    <n v="244"/>
    <s v="credit card"/>
    <x v="2"/>
    <x v="1"/>
    <n v="485.56"/>
  </r>
  <r>
    <n v="209"/>
    <x v="14"/>
    <x v="2"/>
    <n v="14.99"/>
    <n v="267"/>
    <s v="debit card"/>
    <x v="0"/>
    <x v="2"/>
    <n v="4002.33"/>
  </r>
  <r>
    <n v="210"/>
    <x v="14"/>
    <x v="0"/>
    <n v="12.99"/>
    <n v="265"/>
    <s v="credit card"/>
    <x v="9"/>
    <x v="4"/>
    <n v="3442.35"/>
  </r>
  <r>
    <n v="211"/>
    <x v="14"/>
    <x v="0"/>
    <n v="3.99"/>
    <n v="664"/>
    <s v="gift card"/>
    <x v="2"/>
    <x v="2"/>
    <n v="2649.36"/>
  </r>
  <r>
    <n v="212"/>
    <x v="14"/>
    <x v="1"/>
    <n v="3.99"/>
    <n v="445"/>
    <s v="credit card"/>
    <x v="8"/>
    <x v="7"/>
    <n v="1775.5500000000002"/>
  </r>
  <r>
    <n v="213"/>
    <x v="14"/>
    <x v="1"/>
    <n v="6.99"/>
    <n v="853"/>
    <s v="credit card"/>
    <x v="2"/>
    <x v="1"/>
    <n v="5962.47"/>
  </r>
  <r>
    <n v="214"/>
    <x v="14"/>
    <x v="1"/>
    <n v="6.99"/>
    <n v="345"/>
    <s v="gift card"/>
    <x v="1"/>
    <x v="0"/>
    <n v="2411.5500000000002"/>
  </r>
  <r>
    <n v="215"/>
    <x v="14"/>
    <x v="3"/>
    <n v="6.99"/>
    <n v="807"/>
    <s v="credit card"/>
    <x v="8"/>
    <x v="0"/>
    <n v="5640.93"/>
  </r>
  <r>
    <n v="216"/>
    <x v="14"/>
    <x v="3"/>
    <n v="1.99"/>
    <n v="173"/>
    <s v="credit card"/>
    <x v="12"/>
    <x v="2"/>
    <n v="344.27"/>
  </r>
  <r>
    <n v="217"/>
    <x v="14"/>
    <x v="0"/>
    <n v="1.99"/>
    <n v="173"/>
    <s v="credit card"/>
    <x v="12"/>
    <x v="2"/>
    <n v="344.27"/>
  </r>
  <r>
    <n v="218"/>
    <x v="14"/>
    <x v="0"/>
    <n v="3.99"/>
    <n v="243"/>
    <s v="credit card"/>
    <x v="15"/>
    <x v="3"/>
    <n v="969.57"/>
  </r>
  <r>
    <n v="219"/>
    <x v="14"/>
    <x v="3"/>
    <n v="3.99"/>
    <n v="635"/>
    <s v="gift card"/>
    <x v="12"/>
    <x v="2"/>
    <n v="2533.65"/>
  </r>
  <r>
    <n v="220"/>
    <x v="14"/>
    <x v="3"/>
    <n v="1.99"/>
    <n v="568"/>
    <s v="cash"/>
    <x v="10"/>
    <x v="3"/>
    <n v="1130.32"/>
  </r>
  <r>
    <n v="221"/>
    <x v="14"/>
    <x v="1"/>
    <n v="1.99"/>
    <n v="568"/>
    <s v="cash"/>
    <x v="10"/>
    <x v="3"/>
    <n v="1130.32"/>
  </r>
  <r>
    <n v="222"/>
    <x v="14"/>
    <x v="3"/>
    <n v="6.99"/>
    <n v="361"/>
    <s v="cash"/>
    <x v="10"/>
    <x v="1"/>
    <n v="2523.39"/>
  </r>
  <r>
    <n v="223"/>
    <x v="14"/>
    <x v="1"/>
    <n v="1.99"/>
    <n v="416"/>
    <s v="gift card"/>
    <x v="8"/>
    <x v="4"/>
    <n v="827.84"/>
  </r>
  <r>
    <n v="224"/>
    <x v="14"/>
    <x v="2"/>
    <n v="6.99"/>
    <n v="305"/>
    <s v="credit card"/>
    <x v="2"/>
    <x v="4"/>
    <n v="2131.9500000000003"/>
  </r>
  <r>
    <n v="225"/>
    <x v="15"/>
    <x v="2"/>
    <n v="12.99"/>
    <n v="889"/>
    <s v="credit card"/>
    <x v="3"/>
    <x v="6"/>
    <n v="11548.11"/>
  </r>
  <r>
    <n v="226"/>
    <x v="15"/>
    <x v="2"/>
    <n v="12.99"/>
    <n v="665"/>
    <s v="credit card"/>
    <x v="3"/>
    <x v="6"/>
    <n v="8638.35"/>
  </r>
  <r>
    <n v="227"/>
    <x v="15"/>
    <x v="0"/>
    <n v="12.99"/>
    <n v="706"/>
    <s v="gift card"/>
    <x v="6"/>
    <x v="4"/>
    <n v="9170.94"/>
  </r>
  <r>
    <n v="228"/>
    <x v="15"/>
    <x v="2"/>
    <n v="3.99"/>
    <n v="651"/>
    <s v="cash"/>
    <x v="12"/>
    <x v="7"/>
    <n v="2597.4900000000002"/>
  </r>
  <r>
    <n v="229"/>
    <x v="15"/>
    <x v="2"/>
    <n v="12.99"/>
    <n v="387"/>
    <s v="credit card"/>
    <x v="10"/>
    <x v="4"/>
    <n v="5027.13"/>
  </r>
  <r>
    <n v="230"/>
    <x v="15"/>
    <x v="1"/>
    <n v="12.99"/>
    <n v="387"/>
    <s v="credit card"/>
    <x v="10"/>
    <x v="4"/>
    <n v="5027.13"/>
  </r>
  <r>
    <n v="231"/>
    <x v="15"/>
    <x v="2"/>
    <n v="6.99"/>
    <n v="194"/>
    <s v="credit card"/>
    <x v="7"/>
    <x v="1"/>
    <n v="1356.06"/>
  </r>
  <r>
    <n v="232"/>
    <x v="15"/>
    <x v="0"/>
    <n v="12.99"/>
    <n v="351"/>
    <s v="gift card"/>
    <x v="10"/>
    <x v="4"/>
    <n v="4559.49"/>
  </r>
  <r>
    <n v="233"/>
    <x v="15"/>
    <x v="3"/>
    <n v="3.99"/>
    <n v="223"/>
    <s v="credit card"/>
    <x v="7"/>
    <x v="5"/>
    <n v="889.7700000000001"/>
  </r>
  <r>
    <n v="234"/>
    <x v="15"/>
    <x v="3"/>
    <n v="1.99"/>
    <n v="397"/>
    <s v="gift card"/>
    <x v="9"/>
    <x v="0"/>
    <n v="790.03"/>
  </r>
  <r>
    <n v="235"/>
    <x v="15"/>
    <x v="2"/>
    <n v="1.99"/>
    <n v="485"/>
    <s v="cash"/>
    <x v="0"/>
    <x v="4"/>
    <n v="965.15"/>
  </r>
  <r>
    <n v="236"/>
    <x v="15"/>
    <x v="0"/>
    <n v="12.99"/>
    <n v="556"/>
    <s v="gift card"/>
    <x v="10"/>
    <x v="7"/>
    <n v="7222.4400000000005"/>
  </r>
  <r>
    <n v="237"/>
    <x v="15"/>
    <x v="3"/>
    <n v="3.99"/>
    <n v="609"/>
    <s v="debit card"/>
    <x v="6"/>
    <x v="2"/>
    <n v="2429.9100000000003"/>
  </r>
  <r>
    <n v="238"/>
    <x v="15"/>
    <x v="4"/>
    <n v="1.99"/>
    <n v="666"/>
    <s v="cash"/>
    <x v="1"/>
    <x v="1"/>
    <n v="1325.34"/>
  </r>
  <r>
    <n v="239"/>
    <x v="15"/>
    <x v="0"/>
    <n v="14.99"/>
    <n v="596"/>
    <s v="cash"/>
    <x v="15"/>
    <x v="1"/>
    <n v="8934.0400000000009"/>
  </r>
  <r>
    <n v="240"/>
    <x v="15"/>
    <x v="2"/>
    <n v="3.99"/>
    <n v="280"/>
    <s v="gift card"/>
    <x v="10"/>
    <x v="6"/>
    <n v="1117.2"/>
  </r>
  <r>
    <n v="241"/>
    <x v="16"/>
    <x v="0"/>
    <n v="12.99"/>
    <n v="611"/>
    <s v="cash"/>
    <x v="0"/>
    <x v="1"/>
    <n v="7936.89"/>
  </r>
  <r>
    <n v="242"/>
    <x v="16"/>
    <x v="0"/>
    <n v="3.99"/>
    <n v="425"/>
    <s v="gift card"/>
    <x v="0"/>
    <x v="0"/>
    <n v="1695.75"/>
  </r>
  <r>
    <n v="243"/>
    <x v="16"/>
    <x v="1"/>
    <n v="3.99"/>
    <n v="181"/>
    <s v="cash"/>
    <x v="25"/>
    <x v="7"/>
    <n v="722.19"/>
  </r>
  <r>
    <n v="244"/>
    <x v="16"/>
    <x v="3"/>
    <n v="6.99"/>
    <n v="200"/>
    <s v="gift card"/>
    <x v="10"/>
    <x v="0"/>
    <n v="1398"/>
  </r>
  <r>
    <n v="245"/>
    <x v="16"/>
    <x v="2"/>
    <n v="1.99"/>
    <n v="638"/>
    <s v="gift card"/>
    <x v="9"/>
    <x v="6"/>
    <n v="1269.6199999999999"/>
  </r>
  <r>
    <n v="246"/>
    <x v="16"/>
    <x v="0"/>
    <n v="12.99"/>
    <n v="597"/>
    <s v="gift card"/>
    <x v="6"/>
    <x v="0"/>
    <n v="7755.03"/>
  </r>
  <r>
    <n v="247"/>
    <x v="16"/>
    <x v="4"/>
    <n v="3.99"/>
    <n v="249"/>
    <s v="debit card"/>
    <x v="6"/>
    <x v="5"/>
    <n v="993.5100000000001"/>
  </r>
  <r>
    <n v="248"/>
    <x v="16"/>
    <x v="0"/>
    <n v="14.99"/>
    <n v="146"/>
    <s v="gift card"/>
    <x v="13"/>
    <x v="4"/>
    <n v="2188.54"/>
  </r>
  <r>
    <n v="249"/>
    <x v="16"/>
    <x v="2"/>
    <n v="3.99"/>
    <n v="414"/>
    <s v="gift card"/>
    <x v="6"/>
    <x v="1"/>
    <n v="1651.8600000000001"/>
  </r>
  <r>
    <n v="250"/>
    <x v="16"/>
    <x v="1"/>
    <n v="12.99"/>
    <n v="243"/>
    <s v="credit card"/>
    <x v="26"/>
    <x v="6"/>
    <n v="3156.57"/>
  </r>
  <r>
    <n v="251"/>
    <x v="16"/>
    <x v="1"/>
    <n v="6.99"/>
    <n v="603"/>
    <s v="cash"/>
    <x v="9"/>
    <x v="6"/>
    <n v="4214.97"/>
  </r>
  <r>
    <n v="252"/>
    <x v="16"/>
    <x v="2"/>
    <n v="6.99"/>
    <n v="890"/>
    <s v="debit card"/>
    <x v="7"/>
    <x v="2"/>
    <n v="6221.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D386CD-3788-462D-9CBB-5575C15F0F67}" name="PivotTable6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D3:E12" firstHeaderRow="1" firstDataRow="1" firstDataCol="1"/>
  <pivotFields count="9">
    <pivotField showAll="0"/>
    <pivotField numFmtId="166" showAll="0"/>
    <pivotField showAll="0"/>
    <pivotField showAll="0"/>
    <pivotField showAll="0"/>
    <pivotField showAll="0"/>
    <pivotField showAll="0"/>
    <pivotField axis="axisRow" showAll="0" sortType="descending">
      <items count="9">
        <item x="4"/>
        <item x="6"/>
        <item x="7"/>
        <item x="5"/>
        <item x="0"/>
        <item x="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7"/>
  </rowFields>
  <rowItems count="9">
    <i>
      <x/>
    </i>
    <i>
      <x v="4"/>
    </i>
    <i>
      <x v="7"/>
    </i>
    <i>
      <x v="1"/>
    </i>
    <i>
      <x v="6"/>
    </i>
    <i>
      <x v="3"/>
    </i>
    <i>
      <x v="2"/>
    </i>
    <i>
      <x v="5"/>
    </i>
    <i t="grand">
      <x/>
    </i>
  </rowItems>
  <colItems count="1">
    <i/>
  </colItems>
  <dataFields count="1">
    <dataField name="Sum of Revenue" fld="8" baseField="0" baseItem="0"/>
  </dataFields>
  <formats count="12">
    <format dxfId="64">
      <pivotArea type="all" dataOnly="0" outline="0" fieldPosition="0"/>
    </format>
    <format dxfId="63">
      <pivotArea outline="0" collapsedLevelsAreSubtotals="1" fieldPosition="0"/>
    </format>
    <format dxfId="62">
      <pivotArea field="7" type="button" dataOnly="0" labelOnly="1" outline="0" axis="axisRow" fieldPosition="0"/>
    </format>
    <format dxfId="61">
      <pivotArea dataOnly="0" labelOnly="1" fieldPosition="0">
        <references count="1">
          <reference field="7" count="0"/>
        </references>
      </pivotArea>
    </format>
    <format dxfId="60">
      <pivotArea dataOnly="0" labelOnly="1" grandRow="1" outline="0" fieldPosition="0"/>
    </format>
    <format dxfId="59">
      <pivotArea dataOnly="0" labelOnly="1" outline="0" axis="axisValues" fieldPosition="0"/>
    </format>
    <format dxfId="14">
      <pivotArea type="all" dataOnly="0" outline="0" fieldPosition="0"/>
    </format>
    <format dxfId="12">
      <pivotArea outline="0" collapsedLevelsAreSubtotals="1" fieldPosition="0"/>
    </format>
    <format dxfId="11">
      <pivotArea field="7" type="button" dataOnly="0" labelOnly="1" outline="0" axis="axisRow" fieldPosition="0"/>
    </format>
    <format dxfId="10">
      <pivotArea dataOnly="0" labelOnly="1" fieldPosition="0">
        <references count="1">
          <reference field="7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</format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93703C-D32F-468C-A573-B13F03A90FA2}" name="PivotTable2" cacheId="1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3">
  <location ref="A14:B31" firstHeaderRow="1" firstDataRow="1" firstDataCol="1"/>
  <pivotFields count="9">
    <pivotField compact="0" outline="0" showAll="0"/>
    <pivotField axis="axisRow" compact="0" numFmtId="166" outline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</rowItems>
  <colItems count="1">
    <i/>
  </colItems>
  <dataFields count="1">
    <dataField name="Sum of Revenue" fld="8" baseField="1" baseItem="3" numFmtId="4"/>
  </dataFields>
  <formats count="10">
    <format dxfId="82">
      <pivotArea type="all" dataOnly="0" outline="0" fieldPosition="0"/>
    </format>
    <format dxfId="81">
      <pivotArea outline="0" collapsedLevelsAreSubtotals="1" fieldPosition="0"/>
    </format>
    <format dxfId="80">
      <pivotArea field="1" type="button" dataOnly="0" labelOnly="1" outline="0" axis="axisRow" fieldPosition="0"/>
    </format>
    <format dxfId="79">
      <pivotArea dataOnly="0" labelOnly="1" outline="0" fieldPosition="0">
        <references count="1">
          <reference field="1" count="0"/>
        </references>
      </pivotArea>
    </format>
    <format dxfId="78">
      <pivotArea dataOnly="0" labelOnly="1" outline="0" axis="axisValues" fieldPosition="0"/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field="1" type="button" dataOnly="0" labelOnly="1" outline="0" axis="axisRow" fieldPosition="0"/>
    </format>
    <format dxfId="3">
      <pivotArea dataOnly="0" labelOnly="1" outline="0" fieldPosition="0">
        <references count="1">
          <reference field="1" count="0"/>
        </references>
      </pivotArea>
    </format>
    <format dxfId="2">
      <pivotArea dataOnly="0" labelOnly="1" outline="0" axis="axisValues" fieldPosition="0"/>
    </format>
  </format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M1" evalOrder="-1" id="1">
      <autoFilter ref="A1">
        <filterColumn colId="0">
          <dynamicFilter type="M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5C289D-4381-433F-9537-453B5EF5A9FC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12" firstHeaderRow="1" firstDataRow="1" firstDataCol="1"/>
  <pivotFields count="9">
    <pivotField showAll="0"/>
    <pivotField numFmtId="166" showAll="0"/>
    <pivotField axis="axisRow" showAll="0" sortType="descending">
      <items count="6">
        <item x="4"/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6">
    <i>
      <x v="3"/>
    </i>
    <i>
      <x/>
    </i>
    <i>
      <x v="1"/>
    </i>
    <i>
      <x v="4"/>
    </i>
    <i>
      <x v="2"/>
    </i>
    <i t="grand">
      <x/>
    </i>
  </rowItems>
  <colItems count="1">
    <i/>
  </colItems>
  <dataFields count="1">
    <dataField name="Sum of Quantity" fld="4" baseField="2" baseItem="0" numFmtId="4"/>
  </dataFields>
  <formats count="12">
    <format dxfId="77">
      <pivotArea type="all" dataOnly="0" outline="0" fieldPosition="0"/>
    </format>
    <format dxfId="76">
      <pivotArea outline="0" collapsedLevelsAreSubtotals="1" fieldPosition="0"/>
    </format>
    <format dxfId="75">
      <pivotArea field="2" type="button" dataOnly="0" labelOnly="1" outline="0" axis="axisRow" fieldPosition="0"/>
    </format>
    <format dxfId="74">
      <pivotArea dataOnly="0" labelOnly="1" fieldPosition="0">
        <references count="1">
          <reference field="2" count="0"/>
        </references>
      </pivotArea>
    </format>
    <format dxfId="73">
      <pivotArea dataOnly="0" labelOnly="1" grandRow="1" outline="0" fieldPosition="0"/>
    </format>
    <format dxfId="72">
      <pivotArea dataOnly="0" labelOnly="1" outline="0" axis="axisValues" fieldPosition="0"/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2" type="button" dataOnly="0" labelOnly="1" outline="0" axis="axisRow" fieldPosition="0"/>
    </format>
    <format dxfId="18">
      <pivotArea dataOnly="0" labelOnly="1" fieldPosition="0">
        <references count="1">
          <reference field="2" count="0"/>
        </references>
      </pivotArea>
    </format>
    <format dxfId="17">
      <pivotArea dataOnly="0" labelOnly="1" grandRow="1" outline="0" fieldPosition="0"/>
    </format>
    <format dxfId="1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F89A8B-F502-4051-A829-2780458692E9}" name="PivotTable7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4:M32" firstHeaderRow="1" firstDataRow="1" firstDataCol="1"/>
  <pivotFields count="9">
    <pivotField showAll="0"/>
    <pivotField numFmtId="166" showAll="0"/>
    <pivotField showAll="0"/>
    <pivotField showAll="0"/>
    <pivotField showAll="0"/>
    <pivotField showAll="0"/>
    <pivotField axis="axisRow" showAll="0">
      <items count="28">
        <item x="2"/>
        <item x="12"/>
        <item x="25"/>
        <item x="24"/>
        <item x="0"/>
        <item x="17"/>
        <item x="4"/>
        <item x="13"/>
        <item x="16"/>
        <item x="15"/>
        <item x="22"/>
        <item x="23"/>
        <item x="19"/>
        <item x="9"/>
        <item x="26"/>
        <item x="20"/>
        <item x="21"/>
        <item x="6"/>
        <item x="14"/>
        <item x="11"/>
        <item x="10"/>
        <item x="5"/>
        <item x="3"/>
        <item x="1"/>
        <item x="8"/>
        <item x="7"/>
        <item x="18"/>
        <item t="default"/>
      </items>
    </pivotField>
    <pivotField showAll="0"/>
    <pivotField showAll="0"/>
  </pivotFields>
  <rowFields count="1">
    <field x="6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3A7B46-221A-4C37-A057-FA892488431B}" name="Orders" displayName="Orders" ref="A1:I253" totalsRowShown="0" headerRowDxfId="0" dataDxfId="87" headerRowBorderDxfId="94" tableBorderDxfId="95" totalsRowBorderDxfId="93">
  <autoFilter ref="A1:I253" xr:uid="{543A7B46-221A-4C37-A057-FA892488431B}"/>
  <tableColumns count="9">
    <tableColumn id="1" xr3:uid="{3E0649B1-3032-4EA4-8E14-21DF18272086}" name="Order_ID" dataDxfId="92"/>
    <tableColumn id="2" xr3:uid="{468B3338-6130-469C-BBFA-2A8872E5BFCF}" name="Date" dataDxfId="84"/>
    <tableColumn id="3" xr3:uid="{4FF2B86D-074B-432C-827F-F4CC08BABD59}" name="Product" dataDxfId="91"/>
    <tableColumn id="4" xr3:uid="{D7356760-802F-4183-A987-8AADAC16F868}" name="Price" dataDxfId="90"/>
    <tableColumn id="5" xr3:uid="{B52CD773-F023-42E7-A88A-2C6E2DBEC619}" name="Quantity" dataDxfId="89"/>
    <tableColumn id="6" xr3:uid="{4DE87604-25D9-4B1A-87E2-99F6BF39BE25}" name="Payment_Method" dataDxfId="88"/>
    <tableColumn id="9" xr3:uid="{BFB269E9-05D5-4E2C-A7F1-A335F049C2B1}" name="Manager2" dataDxfId="86"/>
    <tableColumn id="10" xr3:uid="{656DF02D-1EC9-4260-B3EF-6BA456249908}" name="City2" dataDxfId="85"/>
    <tableColumn id="11" xr3:uid="{1FA0A75E-B7F8-441D-B0CD-D39396C779EE}" name="Revenue" dataDxfId="83">
      <calculatedColumnFormula>Orders[[#This Row],[Price]]*Orders[[#This Row],[Quantity]]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AD0C6F-2016-41E4-B553-66CEA841DDD3}" name="Table2" displayName="Table2" ref="A1:B4" totalsRowShown="0" headerRowDxfId="71" dataDxfId="70">
  <autoFilter ref="A1:B4" xr:uid="{BAAD0C6F-2016-41E4-B553-66CEA841DDD3}"/>
  <tableColumns count="2">
    <tableColumn id="1" xr3:uid="{1D4DEA2D-C78B-42D8-9081-2E65679675FE}" name="Client Request" dataDxfId="23"/>
    <tableColumn id="2" xr3:uid="{51091700-2774-4CAD-8A3F-49139FCAD1E5}" name="Result" dataDxfId="2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2.x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3CC83-2546-4C65-B391-7219825918AD}">
  <dimension ref="A1:M253"/>
  <sheetViews>
    <sheetView workbookViewId="0">
      <selection activeCell="J4" sqref="J4"/>
    </sheetView>
  </sheetViews>
  <sheetFormatPr defaultRowHeight="15" x14ac:dyDescent="0.25"/>
  <cols>
    <col min="1" max="1" width="11.140625" style="4" customWidth="1"/>
    <col min="2" max="2" width="16.28515625" style="4" bestFit="1" customWidth="1"/>
    <col min="3" max="3" width="15.42578125" style="4" bestFit="1" customWidth="1"/>
    <col min="4" max="4" width="7.7109375" style="4" customWidth="1"/>
    <col min="5" max="5" width="10.85546875" style="4" customWidth="1"/>
    <col min="6" max="6" width="18.7109375" style="4" customWidth="1"/>
    <col min="7" max="7" width="16.28515625" style="4" bestFit="1" customWidth="1"/>
    <col min="8" max="8" width="14.7109375" style="4" bestFit="1" customWidth="1"/>
    <col min="9" max="9" width="13.5703125" style="4" bestFit="1" customWidth="1"/>
    <col min="10" max="11" width="9.140625" style="4"/>
    <col min="12" max="12" width="18" style="4" bestFit="1" customWidth="1"/>
    <col min="13" max="13" width="12.7109375" style="4" bestFit="1" customWidth="1"/>
    <col min="14" max="16384" width="9.140625" style="4"/>
  </cols>
  <sheetData>
    <row r="1" spans="1:13" x14ac:dyDescent="0.25">
      <c r="A1" s="25" t="s">
        <v>10</v>
      </c>
      <c r="B1" s="26" t="s">
        <v>11</v>
      </c>
      <c r="C1" s="26" t="s">
        <v>12</v>
      </c>
      <c r="D1" s="26" t="s">
        <v>13</v>
      </c>
      <c r="E1" s="26" t="s">
        <v>15</v>
      </c>
      <c r="F1" s="26" t="s">
        <v>14</v>
      </c>
      <c r="G1" s="26" t="s">
        <v>52</v>
      </c>
      <c r="H1" s="27" t="s">
        <v>53</v>
      </c>
      <c r="I1" s="26" t="s">
        <v>54</v>
      </c>
    </row>
    <row r="2" spans="1:13" x14ac:dyDescent="0.25">
      <c r="A2" s="6">
        <v>1</v>
      </c>
      <c r="B2" s="11">
        <v>44927</v>
      </c>
      <c r="C2" s="2" t="s">
        <v>3</v>
      </c>
      <c r="D2" s="2">
        <v>1.99</v>
      </c>
      <c r="E2" s="2">
        <v>676</v>
      </c>
      <c r="F2" s="3" t="s">
        <v>2</v>
      </c>
      <c r="G2" s="10" t="s">
        <v>18</v>
      </c>
      <c r="H2" s="5" t="s">
        <v>19</v>
      </c>
      <c r="I2" s="10">
        <f>Orders[[#This Row],[Price]]*Orders[[#This Row],[Quantity]]</f>
        <v>1345.24</v>
      </c>
      <c r="L2" s="28" t="s">
        <v>17</v>
      </c>
      <c r="M2" s="28"/>
    </row>
    <row r="3" spans="1:13" x14ac:dyDescent="0.25">
      <c r="A3" s="6">
        <v>2</v>
      </c>
      <c r="B3" s="11">
        <v>44927</v>
      </c>
      <c r="C3" s="3" t="s">
        <v>5</v>
      </c>
      <c r="D3" s="2">
        <v>3.99</v>
      </c>
      <c r="E3" s="2">
        <v>568</v>
      </c>
      <c r="F3" s="2" t="s">
        <v>4</v>
      </c>
      <c r="G3" s="2" t="s">
        <v>20</v>
      </c>
      <c r="H3" s="5" t="s">
        <v>21</v>
      </c>
      <c r="I3" s="2">
        <f>Orders[[#This Row],[Price]]*Orders[[#This Row],[Quantity]]</f>
        <v>2266.3200000000002</v>
      </c>
      <c r="L3" s="24" t="s">
        <v>55</v>
      </c>
      <c r="M3" s="24">
        <v>3982.779761904761</v>
      </c>
    </row>
    <row r="4" spans="1:13" x14ac:dyDescent="0.25">
      <c r="A4" s="6">
        <v>3</v>
      </c>
      <c r="B4" s="11">
        <v>44927</v>
      </c>
      <c r="C4" s="2" t="s">
        <v>6</v>
      </c>
      <c r="D4" s="2">
        <v>6.99</v>
      </c>
      <c r="E4" s="2">
        <v>611</v>
      </c>
      <c r="F4" s="3" t="s">
        <v>1</v>
      </c>
      <c r="G4" s="2" t="s">
        <v>22</v>
      </c>
      <c r="H4" s="5" t="s">
        <v>23</v>
      </c>
      <c r="I4" s="2">
        <f>Orders[[#This Row],[Price]]*Orders[[#This Row],[Quantity]]</f>
        <v>4270.8900000000003</v>
      </c>
      <c r="L4" s="24" t="s">
        <v>56</v>
      </c>
      <c r="M4" s="24">
        <v>202.64072135390609</v>
      </c>
    </row>
    <row r="5" spans="1:13" x14ac:dyDescent="0.25">
      <c r="A5" s="6">
        <v>4</v>
      </c>
      <c r="B5" s="11">
        <v>44927</v>
      </c>
      <c r="C5" s="3" t="s">
        <v>5</v>
      </c>
      <c r="D5" s="2">
        <v>12.99</v>
      </c>
      <c r="E5" s="2">
        <v>274</v>
      </c>
      <c r="F5" s="3" t="s">
        <v>1</v>
      </c>
      <c r="G5" s="2" t="s">
        <v>24</v>
      </c>
      <c r="H5" s="5" t="s">
        <v>9</v>
      </c>
      <c r="I5" s="2">
        <f>Orders[[#This Row],[Price]]*Orders[[#This Row],[Quantity]]</f>
        <v>3559.26</v>
      </c>
      <c r="L5" s="24" t="s">
        <v>57</v>
      </c>
      <c r="M5" s="24">
        <v>2964.6750000000002</v>
      </c>
    </row>
    <row r="6" spans="1:13" x14ac:dyDescent="0.25">
      <c r="A6" s="6">
        <v>5</v>
      </c>
      <c r="B6" s="11">
        <v>44927</v>
      </c>
      <c r="C6" s="3" t="s">
        <v>5</v>
      </c>
      <c r="D6" s="2">
        <v>6.99</v>
      </c>
      <c r="E6" s="2">
        <v>880</v>
      </c>
      <c r="F6" s="3" t="s">
        <v>1</v>
      </c>
      <c r="G6" s="2" t="s">
        <v>25</v>
      </c>
      <c r="H6" s="5" t="s">
        <v>19</v>
      </c>
      <c r="I6" s="2">
        <f>Orders[[#This Row],[Price]]*Orders[[#This Row],[Quantity]]</f>
        <v>6151.2</v>
      </c>
      <c r="L6" s="24" t="s">
        <v>58</v>
      </c>
      <c r="M6" s="24">
        <v>6151.2</v>
      </c>
    </row>
    <row r="7" spans="1:13" x14ac:dyDescent="0.25">
      <c r="A7" s="6">
        <v>6</v>
      </c>
      <c r="B7" s="11">
        <v>44927</v>
      </c>
      <c r="C7" s="3" t="s">
        <v>5</v>
      </c>
      <c r="D7" s="2">
        <v>6.99</v>
      </c>
      <c r="E7" s="2">
        <v>880</v>
      </c>
      <c r="F7" s="3" t="s">
        <v>1</v>
      </c>
      <c r="G7" s="2" t="s">
        <v>25</v>
      </c>
      <c r="H7" s="5" t="s">
        <v>19</v>
      </c>
      <c r="I7" s="2">
        <f>Orders[[#This Row],[Price]]*Orders[[#This Row],[Quantity]]</f>
        <v>6151.2</v>
      </c>
      <c r="L7" s="24" t="s">
        <v>59</v>
      </c>
      <c r="M7" s="24">
        <v>3216.8217251830288</v>
      </c>
    </row>
    <row r="8" spans="1:13" x14ac:dyDescent="0.25">
      <c r="A8" s="6">
        <v>7</v>
      </c>
      <c r="B8" s="11">
        <v>44927</v>
      </c>
      <c r="C8" s="2" t="s">
        <v>6</v>
      </c>
      <c r="D8" s="2">
        <v>6.99</v>
      </c>
      <c r="E8" s="2">
        <v>675</v>
      </c>
      <c r="F8" s="3" t="s">
        <v>1</v>
      </c>
      <c r="G8" s="2" t="s">
        <v>26</v>
      </c>
      <c r="H8" s="5" t="s">
        <v>23</v>
      </c>
      <c r="I8" s="2">
        <f>Orders[[#This Row],[Price]]*Orders[[#This Row],[Quantity]]</f>
        <v>4718.25</v>
      </c>
      <c r="L8" s="24" t="s">
        <v>60</v>
      </c>
      <c r="M8" s="24">
        <v>10347942.011609519</v>
      </c>
    </row>
    <row r="9" spans="1:13" x14ac:dyDescent="0.25">
      <c r="A9" s="6">
        <v>8</v>
      </c>
      <c r="B9" s="11">
        <v>44927</v>
      </c>
      <c r="C9" s="3" t="s">
        <v>0</v>
      </c>
      <c r="D9" s="2">
        <v>12.99</v>
      </c>
      <c r="E9" s="2">
        <v>488</v>
      </c>
      <c r="F9" s="2" t="s">
        <v>7</v>
      </c>
      <c r="G9" s="2" t="s">
        <v>27</v>
      </c>
      <c r="H9" s="5" t="s">
        <v>23</v>
      </c>
      <c r="I9" s="2">
        <f>Orders[[#This Row],[Price]]*Orders[[#This Row],[Quantity]]</f>
        <v>6339.12</v>
      </c>
      <c r="L9" s="24" t="s">
        <v>61</v>
      </c>
      <c r="M9" s="24">
        <v>-3.4334628858134764E-3</v>
      </c>
    </row>
    <row r="10" spans="1:13" x14ac:dyDescent="0.25">
      <c r="A10" s="6">
        <v>9</v>
      </c>
      <c r="B10" s="11">
        <v>44927</v>
      </c>
      <c r="C10" s="3" t="s">
        <v>0</v>
      </c>
      <c r="D10" s="2">
        <v>1.99</v>
      </c>
      <c r="E10" s="2">
        <v>441</v>
      </c>
      <c r="F10" s="2" t="s">
        <v>7</v>
      </c>
      <c r="G10" s="2" t="s">
        <v>28</v>
      </c>
      <c r="H10" s="5" t="s">
        <v>19</v>
      </c>
      <c r="I10" s="2">
        <f>Orders[[#This Row],[Price]]*Orders[[#This Row],[Quantity]]</f>
        <v>877.59</v>
      </c>
      <c r="L10" s="24" t="s">
        <v>62</v>
      </c>
      <c r="M10" s="24">
        <v>1.0280867945814471</v>
      </c>
    </row>
    <row r="11" spans="1:13" x14ac:dyDescent="0.25">
      <c r="A11" s="6">
        <v>10</v>
      </c>
      <c r="B11" s="11">
        <v>44927</v>
      </c>
      <c r="C11" s="2" t="s">
        <v>8</v>
      </c>
      <c r="D11" s="2">
        <v>1.99</v>
      </c>
      <c r="E11" s="2">
        <v>536</v>
      </c>
      <c r="F11" s="3" t="s">
        <v>1</v>
      </c>
      <c r="G11" s="2" t="s">
        <v>28</v>
      </c>
      <c r="H11" s="5" t="s">
        <v>9</v>
      </c>
      <c r="I11" s="2">
        <f>Orders[[#This Row],[Price]]*Orders[[#This Row],[Quantity]]</f>
        <v>1066.6400000000001</v>
      </c>
      <c r="L11" s="24" t="s">
        <v>63</v>
      </c>
      <c r="M11" s="24">
        <v>12981.84</v>
      </c>
    </row>
    <row r="12" spans="1:13" x14ac:dyDescent="0.25">
      <c r="A12" s="6">
        <v>11</v>
      </c>
      <c r="B12" s="11">
        <v>44927</v>
      </c>
      <c r="C12" s="2" t="s">
        <v>8</v>
      </c>
      <c r="D12" s="2">
        <v>14.99</v>
      </c>
      <c r="E12" s="2">
        <v>501</v>
      </c>
      <c r="F12" s="3" t="s">
        <v>1</v>
      </c>
      <c r="G12" s="2" t="s">
        <v>27</v>
      </c>
      <c r="H12" s="5" t="s">
        <v>29</v>
      </c>
      <c r="I12" s="2">
        <f>Orders[[#This Row],[Price]]*Orders[[#This Row],[Quantity]]</f>
        <v>7509.99</v>
      </c>
      <c r="L12" s="24" t="s">
        <v>64</v>
      </c>
      <c r="M12" s="24">
        <v>344.27</v>
      </c>
    </row>
    <row r="13" spans="1:13" x14ac:dyDescent="0.25">
      <c r="A13" s="6">
        <v>12</v>
      </c>
      <c r="B13" s="11">
        <v>44928</v>
      </c>
      <c r="C13" s="2" t="s">
        <v>6</v>
      </c>
      <c r="D13" s="2">
        <v>14.99</v>
      </c>
      <c r="E13" s="2">
        <v>177</v>
      </c>
      <c r="F13" s="2" t="s">
        <v>4</v>
      </c>
      <c r="G13" s="2" t="s">
        <v>30</v>
      </c>
      <c r="H13" s="5" t="s">
        <v>23</v>
      </c>
      <c r="I13" s="2">
        <f>Orders[[#This Row],[Price]]*Orders[[#This Row],[Quantity]]</f>
        <v>2653.23</v>
      </c>
      <c r="L13" s="24" t="s">
        <v>65</v>
      </c>
      <c r="M13" s="24">
        <v>13326.11</v>
      </c>
    </row>
    <row r="14" spans="1:13" x14ac:dyDescent="0.25">
      <c r="A14" s="6">
        <v>13</v>
      </c>
      <c r="B14" s="11">
        <v>44928</v>
      </c>
      <c r="C14" s="3" t="s">
        <v>0</v>
      </c>
      <c r="D14" s="2">
        <v>12.99</v>
      </c>
      <c r="E14" s="2">
        <v>343</v>
      </c>
      <c r="F14" s="3" t="s">
        <v>2</v>
      </c>
      <c r="G14" s="2" t="s">
        <v>31</v>
      </c>
      <c r="H14" s="5" t="s">
        <v>19</v>
      </c>
      <c r="I14" s="2">
        <f>Orders[[#This Row],[Price]]*Orders[[#This Row],[Quantity]]</f>
        <v>4455.57</v>
      </c>
      <c r="L14" s="24" t="s">
        <v>66</v>
      </c>
      <c r="M14" s="24">
        <v>1003660.4999999998</v>
      </c>
    </row>
    <row r="15" spans="1:13" x14ac:dyDescent="0.25">
      <c r="A15" s="6">
        <v>14</v>
      </c>
      <c r="B15" s="11">
        <v>44928</v>
      </c>
      <c r="C15" s="3" t="s">
        <v>0</v>
      </c>
      <c r="D15" s="2">
        <v>1.99</v>
      </c>
      <c r="E15" s="2">
        <v>690</v>
      </c>
      <c r="F15" s="3" t="s">
        <v>1</v>
      </c>
      <c r="G15" s="2" t="s">
        <v>22</v>
      </c>
      <c r="H15" s="5" t="s">
        <v>32</v>
      </c>
      <c r="I15" s="2">
        <f>Orders[[#This Row],[Price]]*Orders[[#This Row],[Quantity]]</f>
        <v>1373.1</v>
      </c>
      <c r="L15" s="24" t="s">
        <v>67</v>
      </c>
      <c r="M15" s="24">
        <v>252</v>
      </c>
    </row>
    <row r="16" spans="1:13" x14ac:dyDescent="0.25">
      <c r="A16" s="6">
        <v>15</v>
      </c>
      <c r="B16" s="11">
        <v>44928</v>
      </c>
      <c r="C16" s="2" t="s">
        <v>3</v>
      </c>
      <c r="D16" s="2">
        <v>1.99</v>
      </c>
      <c r="E16" s="2">
        <v>192</v>
      </c>
      <c r="F16" s="2" t="s">
        <v>4</v>
      </c>
      <c r="G16" s="2" t="s">
        <v>24</v>
      </c>
      <c r="H16" s="5" t="s">
        <v>19</v>
      </c>
      <c r="I16" s="2">
        <f>Orders[[#This Row],[Price]]*Orders[[#This Row],[Quantity]]</f>
        <v>382.08</v>
      </c>
    </row>
    <row r="17" spans="1:9" x14ac:dyDescent="0.25">
      <c r="A17" s="6">
        <v>16</v>
      </c>
      <c r="B17" s="11">
        <v>44928</v>
      </c>
      <c r="C17" s="3" t="s">
        <v>5</v>
      </c>
      <c r="D17" s="2">
        <v>3.99</v>
      </c>
      <c r="E17" s="2">
        <v>178</v>
      </c>
      <c r="F17" s="2" t="s">
        <v>4</v>
      </c>
      <c r="G17" s="2" t="s">
        <v>18</v>
      </c>
      <c r="H17" s="5" t="s">
        <v>9</v>
      </c>
      <c r="I17" s="2">
        <f>Orders[[#This Row],[Price]]*Orders[[#This Row],[Quantity]]</f>
        <v>710.22</v>
      </c>
    </row>
    <row r="18" spans="1:9" x14ac:dyDescent="0.25">
      <c r="A18" s="6">
        <v>17</v>
      </c>
      <c r="B18" s="11">
        <v>44928</v>
      </c>
      <c r="C18" s="2" t="s">
        <v>3</v>
      </c>
      <c r="D18" s="2">
        <v>6.99</v>
      </c>
      <c r="E18" s="2">
        <v>489</v>
      </c>
      <c r="F18" s="2" t="s">
        <v>4</v>
      </c>
      <c r="G18" s="2" t="s">
        <v>28</v>
      </c>
      <c r="H18" s="5" t="s">
        <v>33</v>
      </c>
      <c r="I18" s="2">
        <f>Orders[[#This Row],[Price]]*Orders[[#This Row],[Quantity]]</f>
        <v>3418.11</v>
      </c>
    </row>
    <row r="19" spans="1:9" x14ac:dyDescent="0.25">
      <c r="A19" s="6">
        <v>18</v>
      </c>
      <c r="B19" s="11">
        <v>44928</v>
      </c>
      <c r="C19" s="2" t="s">
        <v>3</v>
      </c>
      <c r="D19" s="2">
        <v>3.99</v>
      </c>
      <c r="E19" s="2">
        <v>487</v>
      </c>
      <c r="F19" s="3" t="s">
        <v>1</v>
      </c>
      <c r="G19" s="2" t="s">
        <v>24</v>
      </c>
      <c r="H19" s="5" t="s">
        <v>32</v>
      </c>
      <c r="I19" s="2">
        <f>Orders[[#This Row],[Price]]*Orders[[#This Row],[Quantity]]</f>
        <v>1943.13</v>
      </c>
    </row>
    <row r="20" spans="1:9" x14ac:dyDescent="0.25">
      <c r="A20" s="6">
        <v>19</v>
      </c>
      <c r="B20" s="11">
        <v>44928</v>
      </c>
      <c r="C20" s="2" t="s">
        <v>3</v>
      </c>
      <c r="D20" s="2">
        <v>3.99</v>
      </c>
      <c r="E20" s="2">
        <v>347</v>
      </c>
      <c r="F20" s="3" t="s">
        <v>1</v>
      </c>
      <c r="G20" s="2" t="s">
        <v>24</v>
      </c>
      <c r="H20" s="5" t="s">
        <v>32</v>
      </c>
      <c r="I20" s="2">
        <f>Orders[[#This Row],[Price]]*Orders[[#This Row],[Quantity]]</f>
        <v>1384.53</v>
      </c>
    </row>
    <row r="21" spans="1:9" x14ac:dyDescent="0.25">
      <c r="A21" s="6">
        <v>20</v>
      </c>
      <c r="B21" s="11">
        <v>44928</v>
      </c>
      <c r="C21" s="3" t="s">
        <v>0</v>
      </c>
      <c r="D21" s="2">
        <v>3.99</v>
      </c>
      <c r="E21" s="2">
        <v>602</v>
      </c>
      <c r="F21" s="2" t="s">
        <v>7</v>
      </c>
      <c r="G21" s="2" t="s">
        <v>22</v>
      </c>
      <c r="H21" s="5" t="s">
        <v>34</v>
      </c>
      <c r="I21" s="2">
        <f>Orders[[#This Row],[Price]]*Orders[[#This Row],[Quantity]]</f>
        <v>2401.98</v>
      </c>
    </row>
    <row r="22" spans="1:9" x14ac:dyDescent="0.25">
      <c r="A22" s="6">
        <v>21</v>
      </c>
      <c r="B22" s="11">
        <v>44928</v>
      </c>
      <c r="C22" s="2" t="s">
        <v>8</v>
      </c>
      <c r="D22" s="2">
        <v>1.99</v>
      </c>
      <c r="E22" s="2">
        <v>445</v>
      </c>
      <c r="F22" s="3" t="s">
        <v>2</v>
      </c>
      <c r="G22" s="2" t="s">
        <v>24</v>
      </c>
      <c r="H22" s="5" t="s">
        <v>34</v>
      </c>
      <c r="I22" s="2">
        <f>Orders[[#This Row],[Price]]*Orders[[#This Row],[Quantity]]</f>
        <v>885.55</v>
      </c>
    </row>
    <row r="23" spans="1:9" x14ac:dyDescent="0.25">
      <c r="A23" s="6">
        <v>22</v>
      </c>
      <c r="B23" s="11">
        <v>44928</v>
      </c>
      <c r="C23" s="2" t="s">
        <v>8</v>
      </c>
      <c r="D23" s="2">
        <v>14.99</v>
      </c>
      <c r="E23" s="2">
        <v>464</v>
      </c>
      <c r="F23" s="2" t="s">
        <v>7</v>
      </c>
      <c r="G23" s="2" t="s">
        <v>27</v>
      </c>
      <c r="H23" s="5" t="s">
        <v>34</v>
      </c>
      <c r="I23" s="2">
        <f>Orders[[#This Row],[Price]]*Orders[[#This Row],[Quantity]]</f>
        <v>6955.36</v>
      </c>
    </row>
    <row r="24" spans="1:9" x14ac:dyDescent="0.25">
      <c r="A24" s="6">
        <v>23</v>
      </c>
      <c r="B24" s="11">
        <v>44928</v>
      </c>
      <c r="C24" s="2" t="s">
        <v>6</v>
      </c>
      <c r="D24" s="2">
        <v>14.99</v>
      </c>
      <c r="E24" s="2">
        <v>594</v>
      </c>
      <c r="F24" s="3" t="s">
        <v>2</v>
      </c>
      <c r="G24" s="2" t="s">
        <v>35</v>
      </c>
      <c r="H24" s="5" t="s">
        <v>32</v>
      </c>
      <c r="I24" s="2">
        <f>Orders[[#This Row],[Price]]*Orders[[#This Row],[Quantity]]</f>
        <v>8904.06</v>
      </c>
    </row>
    <row r="25" spans="1:9" x14ac:dyDescent="0.25">
      <c r="A25" s="6">
        <v>24</v>
      </c>
      <c r="B25" s="11">
        <v>44928</v>
      </c>
      <c r="C25" s="2" t="s">
        <v>6</v>
      </c>
      <c r="D25" s="2">
        <v>12.99</v>
      </c>
      <c r="E25" s="2">
        <v>214</v>
      </c>
      <c r="F25" s="2" t="s">
        <v>7</v>
      </c>
      <c r="G25" s="2" t="s">
        <v>20</v>
      </c>
      <c r="H25" s="5" t="s">
        <v>34</v>
      </c>
      <c r="I25" s="2">
        <f>Orders[[#This Row],[Price]]*Orders[[#This Row],[Quantity]]</f>
        <v>2779.86</v>
      </c>
    </row>
    <row r="26" spans="1:9" x14ac:dyDescent="0.25">
      <c r="A26" s="6">
        <v>25</v>
      </c>
      <c r="B26" s="11">
        <v>44928</v>
      </c>
      <c r="C26" s="2" t="s">
        <v>6</v>
      </c>
      <c r="D26" s="2">
        <v>12.99</v>
      </c>
      <c r="E26" s="2">
        <v>791</v>
      </c>
      <c r="F26" s="3" t="s">
        <v>1</v>
      </c>
      <c r="G26" s="2" t="s">
        <v>18</v>
      </c>
      <c r="H26" s="5" t="s">
        <v>33</v>
      </c>
      <c r="I26" s="2">
        <f>Orders[[#This Row],[Price]]*Orders[[#This Row],[Quantity]]</f>
        <v>10275.09</v>
      </c>
    </row>
    <row r="27" spans="1:9" x14ac:dyDescent="0.25">
      <c r="A27" s="6">
        <v>26</v>
      </c>
      <c r="B27" s="11">
        <v>44928</v>
      </c>
      <c r="C27" s="2" t="s">
        <v>6</v>
      </c>
      <c r="D27" s="2">
        <v>12.99</v>
      </c>
      <c r="E27" s="2">
        <v>245</v>
      </c>
      <c r="F27" s="2" t="s">
        <v>7</v>
      </c>
      <c r="G27" s="2" t="s">
        <v>35</v>
      </c>
      <c r="H27" s="5" t="s">
        <v>21</v>
      </c>
      <c r="I27" s="2">
        <f>Orders[[#This Row],[Price]]*Orders[[#This Row],[Quantity]]</f>
        <v>3182.55</v>
      </c>
    </row>
    <row r="28" spans="1:9" x14ac:dyDescent="0.25">
      <c r="A28" s="6">
        <v>27</v>
      </c>
      <c r="B28" s="11">
        <v>44929</v>
      </c>
      <c r="C28" s="2" t="s">
        <v>3</v>
      </c>
      <c r="D28" s="2">
        <v>12.99</v>
      </c>
      <c r="E28" s="2">
        <v>582</v>
      </c>
      <c r="F28" s="2" t="s">
        <v>7</v>
      </c>
      <c r="G28" s="2" t="s">
        <v>36</v>
      </c>
      <c r="H28" s="5" t="s">
        <v>29</v>
      </c>
      <c r="I28" s="2">
        <f>Orders[[#This Row],[Price]]*Orders[[#This Row],[Quantity]]</f>
        <v>7560.18</v>
      </c>
    </row>
    <row r="29" spans="1:9" x14ac:dyDescent="0.25">
      <c r="A29" s="6">
        <v>28</v>
      </c>
      <c r="B29" s="11">
        <v>44929</v>
      </c>
      <c r="C29" s="2" t="s">
        <v>8</v>
      </c>
      <c r="D29" s="2">
        <v>3.99</v>
      </c>
      <c r="E29" s="2">
        <v>263</v>
      </c>
      <c r="F29" s="3" t="s">
        <v>1</v>
      </c>
      <c r="G29" s="2" t="s">
        <v>27</v>
      </c>
      <c r="H29" s="5" t="s">
        <v>19</v>
      </c>
      <c r="I29" s="2">
        <f>Orders[[#This Row],[Price]]*Orders[[#This Row],[Quantity]]</f>
        <v>1049.3700000000001</v>
      </c>
    </row>
    <row r="30" spans="1:9" x14ac:dyDescent="0.25">
      <c r="A30" s="6">
        <v>29</v>
      </c>
      <c r="B30" s="11">
        <v>44929</v>
      </c>
      <c r="C30" s="2" t="s">
        <v>3</v>
      </c>
      <c r="D30" s="2">
        <v>14.99</v>
      </c>
      <c r="E30" s="2">
        <v>136</v>
      </c>
      <c r="F30" s="3" t="s">
        <v>2</v>
      </c>
      <c r="G30" s="2" t="s">
        <v>37</v>
      </c>
      <c r="H30" s="5" t="s">
        <v>19</v>
      </c>
      <c r="I30" s="2">
        <f>Orders[[#This Row],[Price]]*Orders[[#This Row],[Quantity]]</f>
        <v>2038.64</v>
      </c>
    </row>
    <row r="31" spans="1:9" x14ac:dyDescent="0.25">
      <c r="A31" s="6">
        <v>30</v>
      </c>
      <c r="B31" s="11">
        <v>44929</v>
      </c>
      <c r="C31" s="2" t="s">
        <v>8</v>
      </c>
      <c r="D31" s="2">
        <v>3.99</v>
      </c>
      <c r="E31" s="2">
        <v>836</v>
      </c>
      <c r="F31" s="3" t="s">
        <v>2</v>
      </c>
      <c r="G31" s="2" t="s">
        <v>20</v>
      </c>
      <c r="H31" s="5" t="s">
        <v>32</v>
      </c>
      <c r="I31" s="2">
        <f>Orders[[#This Row],[Price]]*Orders[[#This Row],[Quantity]]</f>
        <v>3335.6400000000003</v>
      </c>
    </row>
    <row r="32" spans="1:9" x14ac:dyDescent="0.25">
      <c r="A32" s="6">
        <v>31</v>
      </c>
      <c r="B32" s="11">
        <v>44929</v>
      </c>
      <c r="C32" s="2" t="s">
        <v>8</v>
      </c>
      <c r="D32" s="2">
        <v>14.99</v>
      </c>
      <c r="E32" s="2">
        <v>511</v>
      </c>
      <c r="F32" s="2" t="s">
        <v>4</v>
      </c>
      <c r="G32" s="2" t="s">
        <v>38</v>
      </c>
      <c r="H32" s="5" t="s">
        <v>32</v>
      </c>
      <c r="I32" s="2">
        <f>Orders[[#This Row],[Price]]*Orders[[#This Row],[Quantity]]</f>
        <v>7659.89</v>
      </c>
    </row>
    <row r="33" spans="1:9" x14ac:dyDescent="0.25">
      <c r="A33" s="6">
        <v>32</v>
      </c>
      <c r="B33" s="11">
        <v>44929</v>
      </c>
      <c r="C33" s="3" t="s">
        <v>0</v>
      </c>
      <c r="D33" s="2">
        <v>14.99</v>
      </c>
      <c r="E33" s="2">
        <v>353</v>
      </c>
      <c r="F33" s="3" t="s">
        <v>1</v>
      </c>
      <c r="G33" s="2" t="s">
        <v>27</v>
      </c>
      <c r="H33" s="5" t="s">
        <v>21</v>
      </c>
      <c r="I33" s="2">
        <f>Orders[[#This Row],[Price]]*Orders[[#This Row],[Quantity]]</f>
        <v>5291.47</v>
      </c>
    </row>
    <row r="34" spans="1:9" x14ac:dyDescent="0.25">
      <c r="A34" s="6">
        <v>33</v>
      </c>
      <c r="B34" s="11">
        <v>44929</v>
      </c>
      <c r="C34" s="3" t="s">
        <v>0</v>
      </c>
      <c r="D34" s="2">
        <v>1.99</v>
      </c>
      <c r="E34" s="2">
        <v>467</v>
      </c>
      <c r="F34" s="2" t="s">
        <v>4</v>
      </c>
      <c r="G34" s="2" t="s">
        <v>30</v>
      </c>
      <c r="H34" s="5" t="s">
        <v>29</v>
      </c>
      <c r="I34" s="2">
        <f>Orders[[#This Row],[Price]]*Orders[[#This Row],[Quantity]]</f>
        <v>929.33</v>
      </c>
    </row>
    <row r="35" spans="1:9" x14ac:dyDescent="0.25">
      <c r="A35" s="6">
        <v>34</v>
      </c>
      <c r="B35" s="11">
        <v>44929</v>
      </c>
      <c r="C35" s="3" t="s">
        <v>5</v>
      </c>
      <c r="D35" s="2">
        <v>1.99</v>
      </c>
      <c r="E35" s="2">
        <v>236</v>
      </c>
      <c r="F35" s="3" t="s">
        <v>1</v>
      </c>
      <c r="G35" s="2" t="s">
        <v>37</v>
      </c>
      <c r="H35" s="5" t="s">
        <v>32</v>
      </c>
      <c r="I35" s="2">
        <f>Orders[[#This Row],[Price]]*Orders[[#This Row],[Quantity]]</f>
        <v>469.64</v>
      </c>
    </row>
    <row r="36" spans="1:9" x14ac:dyDescent="0.25">
      <c r="A36" s="6">
        <v>35</v>
      </c>
      <c r="B36" s="11">
        <v>44929</v>
      </c>
      <c r="C36" s="2" t="s">
        <v>3</v>
      </c>
      <c r="D36" s="2">
        <v>6.99</v>
      </c>
      <c r="E36" s="2">
        <v>645</v>
      </c>
      <c r="F36" s="2" t="s">
        <v>4</v>
      </c>
      <c r="G36" s="2" t="s">
        <v>35</v>
      </c>
      <c r="H36" s="5" t="s">
        <v>32</v>
      </c>
      <c r="I36" s="2">
        <f>Orders[[#This Row],[Price]]*Orders[[#This Row],[Quantity]]</f>
        <v>4508.55</v>
      </c>
    </row>
    <row r="37" spans="1:9" x14ac:dyDescent="0.25">
      <c r="A37" s="6">
        <v>36</v>
      </c>
      <c r="B37" s="11">
        <v>44929</v>
      </c>
      <c r="C37" s="2" t="s">
        <v>3</v>
      </c>
      <c r="D37" s="2">
        <v>3.99</v>
      </c>
      <c r="E37" s="2">
        <v>409</v>
      </c>
      <c r="F37" s="2" t="s">
        <v>7</v>
      </c>
      <c r="G37" s="2" t="s">
        <v>18</v>
      </c>
      <c r="H37" s="5" t="s">
        <v>9</v>
      </c>
      <c r="I37" s="2">
        <f>Orders[[#This Row],[Price]]*Orders[[#This Row],[Quantity]]</f>
        <v>1631.91</v>
      </c>
    </row>
    <row r="38" spans="1:9" x14ac:dyDescent="0.25">
      <c r="A38" s="6">
        <v>37</v>
      </c>
      <c r="B38" s="11">
        <v>44929</v>
      </c>
      <c r="C38" s="2" t="s">
        <v>8</v>
      </c>
      <c r="D38" s="2">
        <v>3.99</v>
      </c>
      <c r="E38" s="2">
        <v>338</v>
      </c>
      <c r="F38" s="2" t="s">
        <v>4</v>
      </c>
      <c r="G38" s="2" t="s">
        <v>24</v>
      </c>
      <c r="H38" s="5" t="s">
        <v>23</v>
      </c>
      <c r="I38" s="2">
        <f>Orders[[#This Row],[Price]]*Orders[[#This Row],[Quantity]]</f>
        <v>1348.6200000000001</v>
      </c>
    </row>
    <row r="39" spans="1:9" x14ac:dyDescent="0.25">
      <c r="A39" s="6">
        <v>38</v>
      </c>
      <c r="B39" s="11">
        <v>44929</v>
      </c>
      <c r="C39" s="3" t="s">
        <v>5</v>
      </c>
      <c r="D39" s="2">
        <v>14.99</v>
      </c>
      <c r="E39" s="2">
        <v>539</v>
      </c>
      <c r="F39" s="3" t="s">
        <v>2</v>
      </c>
      <c r="G39" s="2" t="s">
        <v>37</v>
      </c>
      <c r="H39" s="5" t="s">
        <v>29</v>
      </c>
      <c r="I39" s="2">
        <f>Orders[[#This Row],[Price]]*Orders[[#This Row],[Quantity]]</f>
        <v>8079.61</v>
      </c>
    </row>
    <row r="40" spans="1:9" x14ac:dyDescent="0.25">
      <c r="A40" s="6">
        <v>39</v>
      </c>
      <c r="B40" s="11">
        <v>44929</v>
      </c>
      <c r="C40" s="3" t="s">
        <v>5</v>
      </c>
      <c r="D40" s="2">
        <v>6.99</v>
      </c>
      <c r="E40" s="2">
        <v>107</v>
      </c>
      <c r="F40" s="3" t="s">
        <v>1</v>
      </c>
      <c r="G40" s="2" t="s">
        <v>31</v>
      </c>
      <c r="H40" s="5" t="s">
        <v>34</v>
      </c>
      <c r="I40" s="2">
        <f>Orders[[#This Row],[Price]]*Orders[[#This Row],[Quantity]]</f>
        <v>747.93000000000006</v>
      </c>
    </row>
    <row r="41" spans="1:9" x14ac:dyDescent="0.25">
      <c r="A41" s="6">
        <v>40</v>
      </c>
      <c r="B41" s="11">
        <v>44929</v>
      </c>
      <c r="C41" s="2" t="s">
        <v>6</v>
      </c>
      <c r="D41" s="2">
        <v>6.99</v>
      </c>
      <c r="E41" s="2">
        <v>532</v>
      </c>
      <c r="F41" s="2" t="s">
        <v>4</v>
      </c>
      <c r="G41" s="2" t="s">
        <v>22</v>
      </c>
      <c r="H41" s="5" t="s">
        <v>23</v>
      </c>
      <c r="I41" s="2">
        <f>Orders[[#This Row],[Price]]*Orders[[#This Row],[Quantity]]</f>
        <v>3718.6800000000003</v>
      </c>
    </row>
    <row r="42" spans="1:9" x14ac:dyDescent="0.25">
      <c r="A42" s="6">
        <v>41</v>
      </c>
      <c r="B42" s="11">
        <v>44929</v>
      </c>
      <c r="C42" s="2" t="s">
        <v>8</v>
      </c>
      <c r="D42" s="2">
        <v>12.99</v>
      </c>
      <c r="E42" s="2">
        <v>295</v>
      </c>
      <c r="F42" s="3" t="s">
        <v>2</v>
      </c>
      <c r="G42" s="2" t="s">
        <v>30</v>
      </c>
      <c r="H42" s="5" t="s">
        <v>9</v>
      </c>
      <c r="I42" s="2">
        <f>Orders[[#This Row],[Price]]*Orders[[#This Row],[Quantity]]</f>
        <v>3832.05</v>
      </c>
    </row>
    <row r="43" spans="1:9" x14ac:dyDescent="0.25">
      <c r="A43" s="6">
        <v>42</v>
      </c>
      <c r="B43" s="11">
        <v>44930</v>
      </c>
      <c r="C43" s="3" t="s">
        <v>5</v>
      </c>
      <c r="D43" s="2">
        <v>14.99</v>
      </c>
      <c r="E43" s="2">
        <v>757</v>
      </c>
      <c r="F43" s="2" t="s">
        <v>7</v>
      </c>
      <c r="G43" s="2" t="s">
        <v>27</v>
      </c>
      <c r="H43" s="5" t="s">
        <v>9</v>
      </c>
      <c r="I43" s="2">
        <f>Orders[[#This Row],[Price]]*Orders[[#This Row],[Quantity]]</f>
        <v>11347.43</v>
      </c>
    </row>
    <row r="44" spans="1:9" x14ac:dyDescent="0.25">
      <c r="A44" s="6">
        <v>43</v>
      </c>
      <c r="B44" s="11">
        <v>44930</v>
      </c>
      <c r="C44" s="3" t="s">
        <v>5</v>
      </c>
      <c r="D44" s="2">
        <v>6.99</v>
      </c>
      <c r="E44" s="2">
        <v>376</v>
      </c>
      <c r="F44" s="3" t="s">
        <v>1</v>
      </c>
      <c r="G44" s="2" t="s">
        <v>28</v>
      </c>
      <c r="H44" s="5" t="s">
        <v>21</v>
      </c>
      <c r="I44" s="2">
        <f>Orders[[#This Row],[Price]]*Orders[[#This Row],[Quantity]]</f>
        <v>2628.2400000000002</v>
      </c>
    </row>
    <row r="45" spans="1:9" x14ac:dyDescent="0.25">
      <c r="A45" s="6">
        <v>44</v>
      </c>
      <c r="B45" s="11">
        <v>44930</v>
      </c>
      <c r="C45" s="2" t="s">
        <v>3</v>
      </c>
      <c r="D45" s="2">
        <v>6.99</v>
      </c>
      <c r="E45" s="2">
        <v>376</v>
      </c>
      <c r="F45" s="3" t="s">
        <v>1</v>
      </c>
      <c r="G45" s="2" t="s">
        <v>28</v>
      </c>
      <c r="H45" s="5" t="s">
        <v>21</v>
      </c>
      <c r="I45" s="2">
        <f>Orders[[#This Row],[Price]]*Orders[[#This Row],[Quantity]]</f>
        <v>2628.2400000000002</v>
      </c>
    </row>
    <row r="46" spans="1:9" x14ac:dyDescent="0.25">
      <c r="A46" s="6">
        <v>45</v>
      </c>
      <c r="B46" s="11">
        <v>44930</v>
      </c>
      <c r="C46" s="3" t="s">
        <v>0</v>
      </c>
      <c r="D46" s="2">
        <v>3.99</v>
      </c>
      <c r="E46" s="2">
        <v>303</v>
      </c>
      <c r="F46" s="3" t="s">
        <v>1</v>
      </c>
      <c r="G46" s="2" t="s">
        <v>20</v>
      </c>
      <c r="H46" s="5" t="s">
        <v>33</v>
      </c>
      <c r="I46" s="2">
        <f>Orders[[#This Row],[Price]]*Orders[[#This Row],[Quantity]]</f>
        <v>1208.97</v>
      </c>
    </row>
    <row r="47" spans="1:9" x14ac:dyDescent="0.25">
      <c r="A47" s="6">
        <v>46</v>
      </c>
      <c r="B47" s="11">
        <v>44930</v>
      </c>
      <c r="C47" s="2" t="s">
        <v>3</v>
      </c>
      <c r="D47" s="2">
        <v>1.99</v>
      </c>
      <c r="E47" s="2">
        <v>466</v>
      </c>
      <c r="F47" s="3" t="s">
        <v>2</v>
      </c>
      <c r="G47" s="2" t="s">
        <v>24</v>
      </c>
      <c r="H47" s="5" t="s">
        <v>33</v>
      </c>
      <c r="I47" s="2">
        <f>Orders[[#This Row],[Price]]*Orders[[#This Row],[Quantity]]</f>
        <v>927.34</v>
      </c>
    </row>
    <row r="48" spans="1:9" x14ac:dyDescent="0.25">
      <c r="A48" s="6">
        <v>47</v>
      </c>
      <c r="B48" s="11">
        <v>44930</v>
      </c>
      <c r="C48" s="3" t="s">
        <v>0</v>
      </c>
      <c r="D48" s="2">
        <v>3.99</v>
      </c>
      <c r="E48" s="2">
        <v>752</v>
      </c>
      <c r="F48" s="2" t="s">
        <v>7</v>
      </c>
      <c r="G48" s="2" t="s">
        <v>31</v>
      </c>
      <c r="H48" s="5" t="s">
        <v>33</v>
      </c>
      <c r="I48" s="2">
        <f>Orders[[#This Row],[Price]]*Orders[[#This Row],[Quantity]]</f>
        <v>3000.48</v>
      </c>
    </row>
    <row r="49" spans="1:9" x14ac:dyDescent="0.25">
      <c r="A49" s="6">
        <v>48</v>
      </c>
      <c r="B49" s="11">
        <v>44930</v>
      </c>
      <c r="C49" s="2" t="s">
        <v>6</v>
      </c>
      <c r="D49" s="2">
        <v>1.99</v>
      </c>
      <c r="E49" s="2">
        <v>497</v>
      </c>
      <c r="F49" s="2" t="s">
        <v>4</v>
      </c>
      <c r="G49" s="2" t="s">
        <v>27</v>
      </c>
      <c r="H49" s="5" t="s">
        <v>32</v>
      </c>
      <c r="I49" s="2">
        <f>Orders[[#This Row],[Price]]*Orders[[#This Row],[Quantity]]</f>
        <v>989.03</v>
      </c>
    </row>
    <row r="50" spans="1:9" x14ac:dyDescent="0.25">
      <c r="A50" s="6">
        <v>49</v>
      </c>
      <c r="B50" s="11">
        <v>44930</v>
      </c>
      <c r="C50" s="3" t="s">
        <v>5</v>
      </c>
      <c r="D50" s="2">
        <v>12.99</v>
      </c>
      <c r="E50" s="2">
        <v>766</v>
      </c>
      <c r="F50" s="2" t="s">
        <v>7</v>
      </c>
      <c r="G50" s="2" t="s">
        <v>39</v>
      </c>
      <c r="H50" s="5" t="s">
        <v>19</v>
      </c>
      <c r="I50" s="2">
        <f>Orders[[#This Row],[Price]]*Orders[[#This Row],[Quantity]]</f>
        <v>9950.34</v>
      </c>
    </row>
    <row r="51" spans="1:9" x14ac:dyDescent="0.25">
      <c r="A51" s="6">
        <v>50</v>
      </c>
      <c r="B51" s="11">
        <v>44930</v>
      </c>
      <c r="C51" s="2" t="s">
        <v>8</v>
      </c>
      <c r="D51" s="2">
        <v>6.99</v>
      </c>
      <c r="E51" s="2">
        <v>641</v>
      </c>
      <c r="F51" s="2" t="s">
        <v>7</v>
      </c>
      <c r="G51" s="2" t="s">
        <v>40</v>
      </c>
      <c r="H51" s="5" t="s">
        <v>33</v>
      </c>
      <c r="I51" s="2">
        <f>Orders[[#This Row],[Price]]*Orders[[#This Row],[Quantity]]</f>
        <v>4480.59</v>
      </c>
    </row>
    <row r="52" spans="1:9" x14ac:dyDescent="0.25">
      <c r="A52" s="6">
        <v>51</v>
      </c>
      <c r="B52" s="11">
        <v>44930</v>
      </c>
      <c r="C52" s="2" t="s">
        <v>8</v>
      </c>
      <c r="D52" s="2">
        <v>14.99</v>
      </c>
      <c r="E52" s="2">
        <v>448</v>
      </c>
      <c r="F52" s="3" t="s">
        <v>2</v>
      </c>
      <c r="G52" s="2" t="s">
        <v>30</v>
      </c>
      <c r="H52" s="5" t="s">
        <v>29</v>
      </c>
      <c r="I52" s="2">
        <f>Orders[[#This Row],[Price]]*Orders[[#This Row],[Quantity]]</f>
        <v>6715.52</v>
      </c>
    </row>
    <row r="53" spans="1:9" x14ac:dyDescent="0.25">
      <c r="A53" s="6">
        <v>52</v>
      </c>
      <c r="B53" s="11">
        <v>44930</v>
      </c>
      <c r="C53" s="2" t="s">
        <v>6</v>
      </c>
      <c r="D53" s="2">
        <v>14.99</v>
      </c>
      <c r="E53" s="2">
        <v>376</v>
      </c>
      <c r="F53" s="2" t="s">
        <v>4</v>
      </c>
      <c r="G53" s="2" t="s">
        <v>22</v>
      </c>
      <c r="H53" s="5" t="s">
        <v>33</v>
      </c>
      <c r="I53" s="2">
        <f>Orders[[#This Row],[Price]]*Orders[[#This Row],[Quantity]]</f>
        <v>5636.24</v>
      </c>
    </row>
    <row r="54" spans="1:9" x14ac:dyDescent="0.25">
      <c r="A54" s="6">
        <v>53</v>
      </c>
      <c r="B54" s="11">
        <v>44930</v>
      </c>
      <c r="C54" s="3" t="s">
        <v>0</v>
      </c>
      <c r="D54" s="2">
        <v>12.99</v>
      </c>
      <c r="E54" s="2">
        <v>605</v>
      </c>
      <c r="F54" s="3" t="s">
        <v>2</v>
      </c>
      <c r="G54" s="2" t="s">
        <v>27</v>
      </c>
      <c r="H54" s="5" t="s">
        <v>23</v>
      </c>
      <c r="I54" s="2">
        <f>Orders[[#This Row],[Price]]*Orders[[#This Row],[Quantity]]</f>
        <v>7858.95</v>
      </c>
    </row>
    <row r="55" spans="1:9" x14ac:dyDescent="0.25">
      <c r="A55" s="6">
        <v>54</v>
      </c>
      <c r="B55" s="11">
        <v>44930</v>
      </c>
      <c r="C55" s="3" t="s">
        <v>0</v>
      </c>
      <c r="D55" s="2">
        <v>1.99</v>
      </c>
      <c r="E55" s="2">
        <v>236</v>
      </c>
      <c r="F55" s="2" t="s">
        <v>7</v>
      </c>
      <c r="G55" s="2" t="s">
        <v>30</v>
      </c>
      <c r="H55" s="5" t="s">
        <v>33</v>
      </c>
      <c r="I55" s="2">
        <f>Orders[[#This Row],[Price]]*Orders[[#This Row],[Quantity]]</f>
        <v>469.64</v>
      </c>
    </row>
    <row r="56" spans="1:9" x14ac:dyDescent="0.25">
      <c r="A56" s="6">
        <v>55</v>
      </c>
      <c r="B56" s="11">
        <v>44930</v>
      </c>
      <c r="C56" s="3" t="s">
        <v>0</v>
      </c>
      <c r="D56" s="2">
        <v>1.99</v>
      </c>
      <c r="E56" s="2">
        <v>250</v>
      </c>
      <c r="F56" s="2" t="s">
        <v>4</v>
      </c>
      <c r="G56" s="2" t="s">
        <v>28</v>
      </c>
      <c r="H56" s="5" t="s">
        <v>33</v>
      </c>
      <c r="I56" s="2">
        <f>Orders[[#This Row],[Price]]*Orders[[#This Row],[Quantity]]</f>
        <v>497.5</v>
      </c>
    </row>
    <row r="57" spans="1:9" x14ac:dyDescent="0.25">
      <c r="A57" s="6">
        <v>56</v>
      </c>
      <c r="B57" s="11">
        <v>44930</v>
      </c>
      <c r="C57" s="2" t="s">
        <v>3</v>
      </c>
      <c r="D57" s="2">
        <v>1.99</v>
      </c>
      <c r="E57" s="2">
        <v>586</v>
      </c>
      <c r="F57" s="3" t="s">
        <v>1</v>
      </c>
      <c r="G57" s="2" t="s">
        <v>18</v>
      </c>
      <c r="H57" s="5" t="s">
        <v>33</v>
      </c>
      <c r="I57" s="2">
        <f>Orders[[#This Row],[Price]]*Orders[[#This Row],[Quantity]]</f>
        <v>1166.1400000000001</v>
      </c>
    </row>
    <row r="58" spans="1:9" x14ac:dyDescent="0.25">
      <c r="A58" s="6">
        <v>57</v>
      </c>
      <c r="B58" s="11">
        <v>44930</v>
      </c>
      <c r="C58" s="2" t="s">
        <v>3</v>
      </c>
      <c r="D58" s="2">
        <v>3.99</v>
      </c>
      <c r="E58" s="2">
        <v>586</v>
      </c>
      <c r="F58" s="3" t="s">
        <v>2</v>
      </c>
      <c r="G58" s="2" t="s">
        <v>22</v>
      </c>
      <c r="H58" s="5" t="s">
        <v>9</v>
      </c>
      <c r="I58" s="2">
        <f>Orders[[#This Row],[Price]]*Orders[[#This Row],[Quantity]]</f>
        <v>2338.1400000000003</v>
      </c>
    </row>
    <row r="59" spans="1:9" x14ac:dyDescent="0.25">
      <c r="A59" s="6">
        <v>58</v>
      </c>
      <c r="B59" s="11">
        <v>44931</v>
      </c>
      <c r="C59" s="2" t="s">
        <v>3</v>
      </c>
      <c r="D59" s="2">
        <v>3.99</v>
      </c>
      <c r="E59" s="2">
        <v>760</v>
      </c>
      <c r="F59" s="2" t="s">
        <v>4</v>
      </c>
      <c r="G59" s="2" t="s">
        <v>41</v>
      </c>
      <c r="H59" s="5" t="s">
        <v>19</v>
      </c>
      <c r="I59" s="2">
        <f>Orders[[#This Row],[Price]]*Orders[[#This Row],[Quantity]]</f>
        <v>3032.4</v>
      </c>
    </row>
    <row r="60" spans="1:9" x14ac:dyDescent="0.25">
      <c r="A60" s="6">
        <v>59</v>
      </c>
      <c r="B60" s="11">
        <v>44931</v>
      </c>
      <c r="C60" s="3" t="s">
        <v>5</v>
      </c>
      <c r="D60" s="2">
        <v>3.99</v>
      </c>
      <c r="E60" s="2">
        <v>336</v>
      </c>
      <c r="F60" s="3" t="s">
        <v>2</v>
      </c>
      <c r="G60" s="2" t="s">
        <v>28</v>
      </c>
      <c r="H60" s="5" t="s">
        <v>33</v>
      </c>
      <c r="I60" s="2">
        <f>Orders[[#This Row],[Price]]*Orders[[#This Row],[Quantity]]</f>
        <v>1340.64</v>
      </c>
    </row>
    <row r="61" spans="1:9" x14ac:dyDescent="0.25">
      <c r="A61" s="6">
        <v>60</v>
      </c>
      <c r="B61" s="11">
        <v>44931</v>
      </c>
      <c r="C61" s="2" t="s">
        <v>6</v>
      </c>
      <c r="D61" s="2">
        <v>6.99</v>
      </c>
      <c r="E61" s="2">
        <v>434</v>
      </c>
      <c r="F61" s="3" t="s">
        <v>1</v>
      </c>
      <c r="G61" s="2" t="s">
        <v>22</v>
      </c>
      <c r="H61" s="5" t="s">
        <v>32</v>
      </c>
      <c r="I61" s="2">
        <f>Orders[[#This Row],[Price]]*Orders[[#This Row],[Quantity]]</f>
        <v>3033.6600000000003</v>
      </c>
    </row>
    <row r="62" spans="1:9" x14ac:dyDescent="0.25">
      <c r="A62" s="6">
        <v>61</v>
      </c>
      <c r="B62" s="11">
        <v>44931</v>
      </c>
      <c r="C62" s="2" t="s">
        <v>6</v>
      </c>
      <c r="D62" s="2">
        <v>12.99</v>
      </c>
      <c r="E62" s="2">
        <v>345</v>
      </c>
      <c r="F62" s="3" t="s">
        <v>2</v>
      </c>
      <c r="G62" s="2" t="s">
        <v>35</v>
      </c>
      <c r="H62" s="5" t="s">
        <v>9</v>
      </c>
      <c r="I62" s="2">
        <f>Orders[[#This Row],[Price]]*Orders[[#This Row],[Quantity]]</f>
        <v>4481.55</v>
      </c>
    </row>
    <row r="63" spans="1:9" x14ac:dyDescent="0.25">
      <c r="A63" s="6">
        <v>62</v>
      </c>
      <c r="B63" s="11">
        <v>44931</v>
      </c>
      <c r="C63" s="2" t="s">
        <v>8</v>
      </c>
      <c r="D63" s="2">
        <v>12.99</v>
      </c>
      <c r="E63" s="2">
        <v>411</v>
      </c>
      <c r="F63" s="2" t="s">
        <v>7</v>
      </c>
      <c r="G63" s="2" t="s">
        <v>18</v>
      </c>
      <c r="H63" s="5" t="s">
        <v>33</v>
      </c>
      <c r="I63" s="2">
        <f>Orders[[#This Row],[Price]]*Orders[[#This Row],[Quantity]]</f>
        <v>5338.89</v>
      </c>
    </row>
    <row r="64" spans="1:9" x14ac:dyDescent="0.25">
      <c r="A64" s="6">
        <v>63</v>
      </c>
      <c r="B64" s="11">
        <v>44931</v>
      </c>
      <c r="C64" s="2" t="s">
        <v>8</v>
      </c>
      <c r="D64" s="2">
        <v>14.99</v>
      </c>
      <c r="E64" s="2">
        <v>273</v>
      </c>
      <c r="F64" s="2" t="s">
        <v>4</v>
      </c>
      <c r="G64" s="2" t="s">
        <v>30</v>
      </c>
      <c r="H64" s="5" t="s">
        <v>33</v>
      </c>
      <c r="I64" s="2">
        <f>Orders[[#This Row],[Price]]*Orders[[#This Row],[Quantity]]</f>
        <v>4092.27</v>
      </c>
    </row>
    <row r="65" spans="1:9" x14ac:dyDescent="0.25">
      <c r="A65" s="6">
        <v>64</v>
      </c>
      <c r="B65" s="11">
        <v>44931</v>
      </c>
      <c r="C65" s="2" t="s">
        <v>6</v>
      </c>
      <c r="D65" s="2">
        <v>14.99</v>
      </c>
      <c r="E65" s="2">
        <v>749</v>
      </c>
      <c r="F65" s="2" t="s">
        <v>7</v>
      </c>
      <c r="G65" s="2" t="s">
        <v>28</v>
      </c>
      <c r="H65" s="5" t="s">
        <v>29</v>
      </c>
      <c r="I65" s="2">
        <f>Orders[[#This Row],[Price]]*Orders[[#This Row],[Quantity]]</f>
        <v>11227.51</v>
      </c>
    </row>
    <row r="66" spans="1:9" x14ac:dyDescent="0.25">
      <c r="A66" s="6">
        <v>65</v>
      </c>
      <c r="B66" s="11">
        <v>44931</v>
      </c>
      <c r="C66" s="3" t="s">
        <v>5</v>
      </c>
      <c r="D66" s="2">
        <v>12.99</v>
      </c>
      <c r="E66" s="2">
        <v>233</v>
      </c>
      <c r="F66" s="2" t="s">
        <v>4</v>
      </c>
      <c r="G66" s="2" t="s">
        <v>40</v>
      </c>
      <c r="H66" s="5" t="s">
        <v>29</v>
      </c>
      <c r="I66" s="2">
        <f>Orders[[#This Row],[Price]]*Orders[[#This Row],[Quantity]]</f>
        <v>3026.67</v>
      </c>
    </row>
    <row r="67" spans="1:9" x14ac:dyDescent="0.25">
      <c r="A67" s="6">
        <v>66</v>
      </c>
      <c r="B67" s="11">
        <v>44931</v>
      </c>
      <c r="C67" s="2" t="s">
        <v>3</v>
      </c>
      <c r="D67" s="2">
        <v>6.99</v>
      </c>
      <c r="E67" s="2">
        <v>358</v>
      </c>
      <c r="F67" s="3" t="s">
        <v>2</v>
      </c>
      <c r="G67" s="2" t="s">
        <v>37</v>
      </c>
      <c r="H67" s="5" t="s">
        <v>19</v>
      </c>
      <c r="I67" s="2">
        <f>Orders[[#This Row],[Price]]*Orders[[#This Row],[Quantity]]</f>
        <v>2502.42</v>
      </c>
    </row>
    <row r="68" spans="1:9" x14ac:dyDescent="0.25">
      <c r="A68" s="6">
        <v>67</v>
      </c>
      <c r="B68" s="11">
        <v>44931</v>
      </c>
      <c r="C68" s="3" t="s">
        <v>5</v>
      </c>
      <c r="D68" s="2">
        <v>3.99</v>
      </c>
      <c r="E68" s="2">
        <v>213</v>
      </c>
      <c r="F68" s="2" t="s">
        <v>4</v>
      </c>
      <c r="G68" s="2" t="s">
        <v>35</v>
      </c>
      <c r="H68" s="5" t="s">
        <v>19</v>
      </c>
      <c r="I68" s="2">
        <f>Orders[[#This Row],[Price]]*Orders[[#This Row],[Quantity]]</f>
        <v>849.87</v>
      </c>
    </row>
    <row r="69" spans="1:9" x14ac:dyDescent="0.25">
      <c r="A69" s="6">
        <v>68</v>
      </c>
      <c r="B69" s="11">
        <v>44931</v>
      </c>
      <c r="C69" s="2" t="s">
        <v>6</v>
      </c>
      <c r="D69" s="2">
        <v>6.99</v>
      </c>
      <c r="E69" s="2">
        <v>555</v>
      </c>
      <c r="F69" s="3" t="s">
        <v>1</v>
      </c>
      <c r="G69" s="2" t="s">
        <v>30</v>
      </c>
      <c r="H69" s="5" t="s">
        <v>23</v>
      </c>
      <c r="I69" s="2">
        <f>Orders[[#This Row],[Price]]*Orders[[#This Row],[Quantity]]</f>
        <v>3879.4500000000003</v>
      </c>
    </row>
    <row r="70" spans="1:9" x14ac:dyDescent="0.25">
      <c r="A70" s="6">
        <v>69</v>
      </c>
      <c r="B70" s="11">
        <v>44931</v>
      </c>
      <c r="C70" s="2" t="s">
        <v>6</v>
      </c>
      <c r="D70" s="2">
        <v>12.99</v>
      </c>
      <c r="E70" s="2">
        <v>263</v>
      </c>
      <c r="F70" s="2" t="s">
        <v>4</v>
      </c>
      <c r="G70" s="2" t="s">
        <v>20</v>
      </c>
      <c r="H70" s="5" t="s">
        <v>23</v>
      </c>
      <c r="I70" s="2">
        <f>Orders[[#This Row],[Price]]*Orders[[#This Row],[Quantity]]</f>
        <v>3416.37</v>
      </c>
    </row>
    <row r="71" spans="1:9" x14ac:dyDescent="0.25">
      <c r="A71" s="6">
        <v>70</v>
      </c>
      <c r="B71" s="11">
        <v>44931</v>
      </c>
      <c r="C71" s="2" t="s">
        <v>3</v>
      </c>
      <c r="D71" s="2">
        <v>12.99</v>
      </c>
      <c r="E71" s="2">
        <v>259</v>
      </c>
      <c r="F71" s="3" t="s">
        <v>2</v>
      </c>
      <c r="G71" s="2" t="s">
        <v>30</v>
      </c>
      <c r="H71" s="5" t="s">
        <v>29</v>
      </c>
      <c r="I71" s="2">
        <f>Orders[[#This Row],[Price]]*Orders[[#This Row],[Quantity]]</f>
        <v>3364.41</v>
      </c>
    </row>
    <row r="72" spans="1:9" x14ac:dyDescent="0.25">
      <c r="A72" s="6">
        <v>71</v>
      </c>
      <c r="B72" s="11">
        <v>44931</v>
      </c>
      <c r="C72" s="3" t="s">
        <v>5</v>
      </c>
      <c r="D72" s="2">
        <v>3.99</v>
      </c>
      <c r="E72" s="2">
        <v>786</v>
      </c>
      <c r="F72" s="2" t="s">
        <v>4</v>
      </c>
      <c r="G72" s="2" t="s">
        <v>27</v>
      </c>
      <c r="H72" s="5" t="s">
        <v>33</v>
      </c>
      <c r="I72" s="2">
        <f>Orders[[#This Row],[Price]]*Orders[[#This Row],[Quantity]]</f>
        <v>3136.1400000000003</v>
      </c>
    </row>
    <row r="73" spans="1:9" x14ac:dyDescent="0.25">
      <c r="A73" s="6">
        <v>72</v>
      </c>
      <c r="B73" s="11">
        <v>44931</v>
      </c>
      <c r="C73" s="2" t="s">
        <v>3</v>
      </c>
      <c r="D73" s="2">
        <v>6.99</v>
      </c>
      <c r="E73" s="2">
        <v>234</v>
      </c>
      <c r="F73" s="2" t="s">
        <v>7</v>
      </c>
      <c r="G73" s="2" t="s">
        <v>37</v>
      </c>
      <c r="H73" s="5" t="s">
        <v>33</v>
      </c>
      <c r="I73" s="2">
        <f>Orders[[#This Row],[Price]]*Orders[[#This Row],[Quantity]]</f>
        <v>1635.66</v>
      </c>
    </row>
    <row r="74" spans="1:9" x14ac:dyDescent="0.25">
      <c r="A74" s="6">
        <v>73</v>
      </c>
      <c r="B74" s="11">
        <v>44932</v>
      </c>
      <c r="C74" s="2" t="s">
        <v>3</v>
      </c>
      <c r="D74" s="2">
        <v>3.99</v>
      </c>
      <c r="E74" s="2">
        <v>291</v>
      </c>
      <c r="F74" s="2" t="s">
        <v>7</v>
      </c>
      <c r="G74" s="2" t="s">
        <v>22</v>
      </c>
      <c r="H74" s="5" t="s">
        <v>29</v>
      </c>
      <c r="I74" s="2">
        <f>Orders[[#This Row],[Price]]*Orders[[#This Row],[Quantity]]</f>
        <v>1161.0900000000001</v>
      </c>
    </row>
    <row r="75" spans="1:9" x14ac:dyDescent="0.25">
      <c r="A75" s="6">
        <v>74</v>
      </c>
      <c r="B75" s="11">
        <v>44932</v>
      </c>
      <c r="C75" s="3" t="s">
        <v>0</v>
      </c>
      <c r="D75" s="2">
        <v>3.99</v>
      </c>
      <c r="E75" s="2">
        <v>775</v>
      </c>
      <c r="F75" s="3" t="s">
        <v>2</v>
      </c>
      <c r="G75" s="2" t="s">
        <v>28</v>
      </c>
      <c r="H75" s="5" t="s">
        <v>21</v>
      </c>
      <c r="I75" s="2">
        <f>Orders[[#This Row],[Price]]*Orders[[#This Row],[Quantity]]</f>
        <v>3092.25</v>
      </c>
    </row>
    <row r="76" spans="1:9" x14ac:dyDescent="0.25">
      <c r="A76" s="6">
        <v>75</v>
      </c>
      <c r="B76" s="11">
        <v>44932</v>
      </c>
      <c r="C76" s="3" t="s">
        <v>5</v>
      </c>
      <c r="D76" s="2">
        <v>1.99</v>
      </c>
      <c r="E76" s="2">
        <v>242</v>
      </c>
      <c r="F76" s="2" t="s">
        <v>7</v>
      </c>
      <c r="G76" s="2" t="s">
        <v>28</v>
      </c>
      <c r="H76" s="5" t="s">
        <v>9</v>
      </c>
      <c r="I76" s="2">
        <f>Orders[[#This Row],[Price]]*Orders[[#This Row],[Quantity]]</f>
        <v>481.58</v>
      </c>
    </row>
    <row r="77" spans="1:9" x14ac:dyDescent="0.25">
      <c r="A77" s="6">
        <v>76</v>
      </c>
      <c r="B77" s="11">
        <v>44932</v>
      </c>
      <c r="C77" s="2" t="s">
        <v>6</v>
      </c>
      <c r="D77" s="2">
        <v>6.99</v>
      </c>
      <c r="E77" s="2">
        <v>323</v>
      </c>
      <c r="F77" s="3" t="s">
        <v>1</v>
      </c>
      <c r="G77" s="2" t="s">
        <v>31</v>
      </c>
      <c r="H77" s="5" t="s">
        <v>21</v>
      </c>
      <c r="I77" s="2">
        <f>Orders[[#This Row],[Price]]*Orders[[#This Row],[Quantity]]</f>
        <v>2257.77</v>
      </c>
    </row>
    <row r="78" spans="1:9" x14ac:dyDescent="0.25">
      <c r="A78" s="6">
        <v>77</v>
      </c>
      <c r="B78" s="11">
        <v>44932</v>
      </c>
      <c r="C78" s="2" t="s">
        <v>3</v>
      </c>
      <c r="D78" s="2">
        <v>12.99</v>
      </c>
      <c r="E78" s="2">
        <v>718</v>
      </c>
      <c r="F78" s="2" t="s">
        <v>4</v>
      </c>
      <c r="G78" s="2" t="s">
        <v>40</v>
      </c>
      <c r="H78" s="5" t="s">
        <v>33</v>
      </c>
      <c r="I78" s="2">
        <f>Orders[[#This Row],[Price]]*Orders[[#This Row],[Quantity]]</f>
        <v>9326.82</v>
      </c>
    </row>
    <row r="79" spans="1:9" x14ac:dyDescent="0.25">
      <c r="A79" s="6">
        <v>78</v>
      </c>
      <c r="B79" s="11">
        <v>44932</v>
      </c>
      <c r="C79" s="2" t="s">
        <v>8</v>
      </c>
      <c r="D79" s="2">
        <v>3.99</v>
      </c>
      <c r="E79" s="2">
        <v>711</v>
      </c>
      <c r="F79" s="3" t="s">
        <v>2</v>
      </c>
      <c r="G79" s="2" t="s">
        <v>30</v>
      </c>
      <c r="H79" s="5" t="s">
        <v>9</v>
      </c>
      <c r="I79" s="2">
        <f>Orders[[#This Row],[Price]]*Orders[[#This Row],[Quantity]]</f>
        <v>2836.8900000000003</v>
      </c>
    </row>
    <row r="80" spans="1:9" x14ac:dyDescent="0.25">
      <c r="A80" s="6">
        <v>79</v>
      </c>
      <c r="B80" s="11">
        <v>44932</v>
      </c>
      <c r="C80" s="2" t="s">
        <v>8</v>
      </c>
      <c r="D80" s="2">
        <v>14.99</v>
      </c>
      <c r="E80" s="2">
        <v>731</v>
      </c>
      <c r="F80" s="3" t="s">
        <v>1</v>
      </c>
      <c r="G80" s="2" t="s">
        <v>24</v>
      </c>
      <c r="H80" s="5" t="s">
        <v>19</v>
      </c>
      <c r="I80" s="2">
        <f>Orders[[#This Row],[Price]]*Orders[[#This Row],[Quantity]]</f>
        <v>10957.69</v>
      </c>
    </row>
    <row r="81" spans="1:9" x14ac:dyDescent="0.25">
      <c r="A81" s="6">
        <v>80</v>
      </c>
      <c r="B81" s="11">
        <v>44932</v>
      </c>
      <c r="C81" s="2" t="s">
        <v>8</v>
      </c>
      <c r="D81" s="2">
        <v>14.99</v>
      </c>
      <c r="E81" s="2">
        <v>889</v>
      </c>
      <c r="F81" s="2" t="s">
        <v>4</v>
      </c>
      <c r="G81" s="2" t="s">
        <v>30</v>
      </c>
      <c r="H81" s="5" t="s">
        <v>9</v>
      </c>
      <c r="I81" s="2">
        <f>Orders[[#This Row],[Price]]*Orders[[#This Row],[Quantity]]</f>
        <v>13326.11</v>
      </c>
    </row>
    <row r="82" spans="1:9" x14ac:dyDescent="0.25">
      <c r="A82" s="6">
        <v>81</v>
      </c>
      <c r="B82" s="11">
        <v>44932</v>
      </c>
      <c r="C82" s="2" t="s">
        <v>8</v>
      </c>
      <c r="D82" s="2">
        <v>14.99</v>
      </c>
      <c r="E82" s="2">
        <v>106</v>
      </c>
      <c r="F82" s="2" t="s">
        <v>4</v>
      </c>
      <c r="G82" s="2" t="s">
        <v>30</v>
      </c>
      <c r="H82" s="5" t="s">
        <v>23</v>
      </c>
      <c r="I82" s="2">
        <f>Orders[[#This Row],[Price]]*Orders[[#This Row],[Quantity]]</f>
        <v>1588.94</v>
      </c>
    </row>
    <row r="83" spans="1:9" x14ac:dyDescent="0.25">
      <c r="A83" s="6">
        <v>82</v>
      </c>
      <c r="B83" s="11">
        <v>44932</v>
      </c>
      <c r="C83" s="3" t="s">
        <v>5</v>
      </c>
      <c r="D83" s="2">
        <v>14.99</v>
      </c>
      <c r="E83" s="2">
        <v>445</v>
      </c>
      <c r="F83" s="3" t="s">
        <v>2</v>
      </c>
      <c r="G83" s="2" t="s">
        <v>27</v>
      </c>
      <c r="H83" s="5" t="s">
        <v>29</v>
      </c>
      <c r="I83" s="2">
        <f>Orders[[#This Row],[Price]]*Orders[[#This Row],[Quantity]]</f>
        <v>6670.55</v>
      </c>
    </row>
    <row r="84" spans="1:9" x14ac:dyDescent="0.25">
      <c r="A84" s="6">
        <v>83</v>
      </c>
      <c r="B84" s="11">
        <v>44932</v>
      </c>
      <c r="C84" s="2" t="s">
        <v>8</v>
      </c>
      <c r="D84" s="2">
        <v>6.99</v>
      </c>
      <c r="E84" s="2">
        <v>148</v>
      </c>
      <c r="F84" s="2" t="s">
        <v>7</v>
      </c>
      <c r="G84" s="2" t="s">
        <v>35</v>
      </c>
      <c r="H84" s="5" t="s">
        <v>29</v>
      </c>
      <c r="I84" s="2">
        <f>Orders[[#This Row],[Price]]*Orders[[#This Row],[Quantity]]</f>
        <v>1034.52</v>
      </c>
    </row>
    <row r="85" spans="1:9" x14ac:dyDescent="0.25">
      <c r="A85" s="6">
        <v>84</v>
      </c>
      <c r="B85" s="11">
        <v>44932</v>
      </c>
      <c r="C85" s="2" t="s">
        <v>8</v>
      </c>
      <c r="D85" s="2">
        <v>14.99</v>
      </c>
      <c r="E85" s="2">
        <v>807</v>
      </c>
      <c r="F85" s="2" t="s">
        <v>7</v>
      </c>
      <c r="G85" s="2" t="s">
        <v>31</v>
      </c>
      <c r="H85" s="5" t="s">
        <v>29</v>
      </c>
      <c r="I85" s="2">
        <f>Orders[[#This Row],[Price]]*Orders[[#This Row],[Quantity]]</f>
        <v>12096.93</v>
      </c>
    </row>
    <row r="86" spans="1:9" x14ac:dyDescent="0.25">
      <c r="A86" s="6">
        <v>85</v>
      </c>
      <c r="B86" s="11">
        <v>44932</v>
      </c>
      <c r="C86" s="2" t="s">
        <v>6</v>
      </c>
      <c r="D86" s="2">
        <v>14.99</v>
      </c>
      <c r="E86" s="2">
        <v>260</v>
      </c>
      <c r="F86" s="2" t="s">
        <v>7</v>
      </c>
      <c r="G86" s="2" t="s">
        <v>40</v>
      </c>
      <c r="H86" s="5" t="s">
        <v>19</v>
      </c>
      <c r="I86" s="2">
        <f>Orders[[#This Row],[Price]]*Orders[[#This Row],[Quantity]]</f>
        <v>3897.4</v>
      </c>
    </row>
    <row r="87" spans="1:9" x14ac:dyDescent="0.25">
      <c r="A87" s="6">
        <v>86</v>
      </c>
      <c r="B87" s="11">
        <v>44932</v>
      </c>
      <c r="C87" s="2" t="s">
        <v>3</v>
      </c>
      <c r="D87" s="2">
        <v>12.99</v>
      </c>
      <c r="E87" s="2">
        <v>539</v>
      </c>
      <c r="F87" s="3" t="s">
        <v>1</v>
      </c>
      <c r="G87" s="2" t="s">
        <v>40</v>
      </c>
      <c r="H87" s="5" t="s">
        <v>34</v>
      </c>
      <c r="I87" s="2">
        <f>Orders[[#This Row],[Price]]*Orders[[#This Row],[Quantity]]</f>
        <v>7001.61</v>
      </c>
    </row>
    <row r="88" spans="1:9" x14ac:dyDescent="0.25">
      <c r="A88" s="6">
        <v>87</v>
      </c>
      <c r="B88" s="11">
        <v>44932</v>
      </c>
      <c r="C88" s="2" t="s">
        <v>8</v>
      </c>
      <c r="D88" s="2">
        <v>3.99</v>
      </c>
      <c r="E88" s="2">
        <v>550</v>
      </c>
      <c r="F88" s="2" t="s">
        <v>7</v>
      </c>
      <c r="G88" s="2" t="s">
        <v>28</v>
      </c>
      <c r="H88" s="5" t="s">
        <v>29</v>
      </c>
      <c r="I88" s="2">
        <f>Orders[[#This Row],[Price]]*Orders[[#This Row],[Quantity]]</f>
        <v>2194.5</v>
      </c>
    </row>
    <row r="89" spans="1:9" x14ac:dyDescent="0.25">
      <c r="A89" s="6">
        <v>88</v>
      </c>
      <c r="B89" s="11">
        <v>44933</v>
      </c>
      <c r="C89" s="3" t="s">
        <v>0</v>
      </c>
      <c r="D89" s="2">
        <v>14.99</v>
      </c>
      <c r="E89" s="2">
        <v>575</v>
      </c>
      <c r="F89" s="3" t="s">
        <v>2</v>
      </c>
      <c r="G89" s="2" t="s">
        <v>30</v>
      </c>
      <c r="H89" s="5" t="s">
        <v>21</v>
      </c>
      <c r="I89" s="2">
        <f>Orders[[#This Row],[Price]]*Orders[[#This Row],[Quantity]]</f>
        <v>8619.25</v>
      </c>
    </row>
    <row r="90" spans="1:9" x14ac:dyDescent="0.25">
      <c r="A90" s="6">
        <v>89</v>
      </c>
      <c r="B90" s="11">
        <v>44933</v>
      </c>
      <c r="C90" s="2" t="s">
        <v>8</v>
      </c>
      <c r="D90" s="2">
        <v>1.99</v>
      </c>
      <c r="E90" s="2">
        <v>477</v>
      </c>
      <c r="F90" s="3" t="s">
        <v>2</v>
      </c>
      <c r="G90" s="2" t="s">
        <v>40</v>
      </c>
      <c r="H90" s="5" t="s">
        <v>19</v>
      </c>
      <c r="I90" s="2">
        <f>Orders[[#This Row],[Price]]*Orders[[#This Row],[Quantity]]</f>
        <v>949.23</v>
      </c>
    </row>
    <row r="91" spans="1:9" x14ac:dyDescent="0.25">
      <c r="A91" s="6">
        <v>90</v>
      </c>
      <c r="B91" s="11">
        <v>44933</v>
      </c>
      <c r="C91" s="2" t="s">
        <v>8</v>
      </c>
      <c r="D91" s="2">
        <v>14.99</v>
      </c>
      <c r="E91" s="2">
        <v>634</v>
      </c>
      <c r="F91" s="2" t="s">
        <v>7</v>
      </c>
      <c r="G91" s="2" t="s">
        <v>18</v>
      </c>
      <c r="H91" s="5" t="s">
        <v>32</v>
      </c>
      <c r="I91" s="2">
        <f>Orders[[#This Row],[Price]]*Orders[[#This Row],[Quantity]]</f>
        <v>9503.66</v>
      </c>
    </row>
    <row r="92" spans="1:9" x14ac:dyDescent="0.25">
      <c r="A92" s="6">
        <v>91</v>
      </c>
      <c r="B92" s="11">
        <v>44933</v>
      </c>
      <c r="C92" s="3" t="s">
        <v>0</v>
      </c>
      <c r="D92" s="2">
        <v>14.99</v>
      </c>
      <c r="E92" s="2">
        <v>141</v>
      </c>
      <c r="F92" s="2" t="s">
        <v>7</v>
      </c>
      <c r="G92" s="2" t="s">
        <v>22</v>
      </c>
      <c r="H92" s="5" t="s">
        <v>23</v>
      </c>
      <c r="I92" s="2">
        <f>Orders[[#This Row],[Price]]*Orders[[#This Row],[Quantity]]</f>
        <v>2113.59</v>
      </c>
    </row>
    <row r="93" spans="1:9" x14ac:dyDescent="0.25">
      <c r="A93" s="6">
        <v>92</v>
      </c>
      <c r="B93" s="11">
        <v>44933</v>
      </c>
      <c r="C93" s="3" t="s">
        <v>0</v>
      </c>
      <c r="D93" s="2">
        <v>1.99</v>
      </c>
      <c r="E93" s="2">
        <v>703</v>
      </c>
      <c r="F93" s="3" t="s">
        <v>2</v>
      </c>
      <c r="G93" s="2" t="s">
        <v>35</v>
      </c>
      <c r="H93" s="5" t="s">
        <v>32</v>
      </c>
      <c r="I93" s="2">
        <f>Orders[[#This Row],[Price]]*Orders[[#This Row],[Quantity]]</f>
        <v>1398.97</v>
      </c>
    </row>
    <row r="94" spans="1:9" x14ac:dyDescent="0.25">
      <c r="A94" s="6">
        <v>93</v>
      </c>
      <c r="B94" s="11">
        <v>44933</v>
      </c>
      <c r="C94" s="3" t="s">
        <v>0</v>
      </c>
      <c r="D94" s="2">
        <v>1.99</v>
      </c>
      <c r="E94" s="2">
        <v>547</v>
      </c>
      <c r="F94" s="2" t="s">
        <v>7</v>
      </c>
      <c r="G94" s="2" t="s">
        <v>42</v>
      </c>
      <c r="H94" s="5" t="s">
        <v>21</v>
      </c>
      <c r="I94" s="2">
        <f>Orders[[#This Row],[Price]]*Orders[[#This Row],[Quantity]]</f>
        <v>1088.53</v>
      </c>
    </row>
    <row r="95" spans="1:9" x14ac:dyDescent="0.25">
      <c r="A95" s="6">
        <v>94</v>
      </c>
      <c r="B95" s="11">
        <v>44933</v>
      </c>
      <c r="C95" s="3" t="s">
        <v>5</v>
      </c>
      <c r="D95" s="2">
        <v>1.99</v>
      </c>
      <c r="E95" s="2">
        <v>679</v>
      </c>
      <c r="F95" s="3" t="s">
        <v>1</v>
      </c>
      <c r="G95" s="2" t="s">
        <v>37</v>
      </c>
      <c r="H95" s="5" t="s">
        <v>23</v>
      </c>
      <c r="I95" s="2">
        <f>Orders[[#This Row],[Price]]*Orders[[#This Row],[Quantity]]</f>
        <v>1351.21</v>
      </c>
    </row>
    <row r="96" spans="1:9" x14ac:dyDescent="0.25">
      <c r="A96" s="6">
        <v>95</v>
      </c>
      <c r="B96" s="11">
        <v>44933</v>
      </c>
      <c r="C96" s="2" t="s">
        <v>3</v>
      </c>
      <c r="D96" s="2">
        <v>6.99</v>
      </c>
      <c r="E96" s="2">
        <v>234</v>
      </c>
      <c r="F96" s="2" t="s">
        <v>4</v>
      </c>
      <c r="G96" s="2" t="s">
        <v>37</v>
      </c>
      <c r="H96" s="5" t="s">
        <v>21</v>
      </c>
      <c r="I96" s="2">
        <f>Orders[[#This Row],[Price]]*Orders[[#This Row],[Quantity]]</f>
        <v>1635.66</v>
      </c>
    </row>
    <row r="97" spans="1:9" x14ac:dyDescent="0.25">
      <c r="A97" s="6">
        <v>96</v>
      </c>
      <c r="B97" s="11">
        <v>44933</v>
      </c>
      <c r="C97" s="3" t="s">
        <v>5</v>
      </c>
      <c r="D97" s="2">
        <v>3.99</v>
      </c>
      <c r="E97" s="2">
        <v>559</v>
      </c>
      <c r="F97" s="3" t="s">
        <v>2</v>
      </c>
      <c r="G97" s="2" t="s">
        <v>40</v>
      </c>
      <c r="H97" s="5" t="s">
        <v>34</v>
      </c>
      <c r="I97" s="2">
        <f>Orders[[#This Row],[Price]]*Orders[[#This Row],[Quantity]]</f>
        <v>2230.4100000000003</v>
      </c>
    </row>
    <row r="98" spans="1:9" x14ac:dyDescent="0.25">
      <c r="A98" s="6">
        <v>97</v>
      </c>
      <c r="B98" s="11">
        <v>44933</v>
      </c>
      <c r="C98" s="2" t="s">
        <v>6</v>
      </c>
      <c r="D98" s="2">
        <v>6.99</v>
      </c>
      <c r="E98" s="2">
        <v>516</v>
      </c>
      <c r="F98" s="3" t="s">
        <v>2</v>
      </c>
      <c r="G98" s="2" t="s">
        <v>20</v>
      </c>
      <c r="H98" s="5" t="s">
        <v>32</v>
      </c>
      <c r="I98" s="2">
        <f>Orders[[#This Row],[Price]]*Orders[[#This Row],[Quantity]]</f>
        <v>3606.84</v>
      </c>
    </row>
    <row r="99" spans="1:9" x14ac:dyDescent="0.25">
      <c r="A99" s="6">
        <v>98</v>
      </c>
      <c r="B99" s="11">
        <v>44933</v>
      </c>
      <c r="C99" s="2" t="s">
        <v>8</v>
      </c>
      <c r="D99" s="2">
        <v>12.99</v>
      </c>
      <c r="E99" s="2">
        <v>255</v>
      </c>
      <c r="F99" s="3" t="s">
        <v>1</v>
      </c>
      <c r="G99" s="2" t="s">
        <v>31</v>
      </c>
      <c r="H99" s="5" t="s">
        <v>23</v>
      </c>
      <c r="I99" s="2">
        <f>Orders[[#This Row],[Price]]*Orders[[#This Row],[Quantity]]</f>
        <v>3312.4500000000003</v>
      </c>
    </row>
    <row r="100" spans="1:9" x14ac:dyDescent="0.25">
      <c r="A100" s="6">
        <v>99</v>
      </c>
      <c r="B100" s="11">
        <v>44933</v>
      </c>
      <c r="C100" s="2" t="s">
        <v>6</v>
      </c>
      <c r="D100" s="2">
        <v>14.99</v>
      </c>
      <c r="E100" s="2">
        <v>428</v>
      </c>
      <c r="F100" s="2" t="s">
        <v>4</v>
      </c>
      <c r="G100" s="2" t="s">
        <v>37</v>
      </c>
      <c r="H100" s="5" t="s">
        <v>21</v>
      </c>
      <c r="I100" s="2">
        <f>Orders[[#This Row],[Price]]*Orders[[#This Row],[Quantity]]</f>
        <v>6415.72</v>
      </c>
    </row>
    <row r="101" spans="1:9" x14ac:dyDescent="0.25">
      <c r="A101" s="6">
        <v>100</v>
      </c>
      <c r="B101" s="11">
        <v>44933</v>
      </c>
      <c r="C101" s="2" t="s">
        <v>3</v>
      </c>
      <c r="D101" s="2">
        <v>12.99</v>
      </c>
      <c r="E101" s="2">
        <v>791</v>
      </c>
      <c r="F101" s="3" t="s">
        <v>1</v>
      </c>
      <c r="G101" s="2" t="s">
        <v>20</v>
      </c>
      <c r="H101" s="5" t="s">
        <v>32</v>
      </c>
      <c r="I101" s="2">
        <f>Orders[[#This Row],[Price]]*Orders[[#This Row],[Quantity]]</f>
        <v>10275.09</v>
      </c>
    </row>
    <row r="102" spans="1:9" x14ac:dyDescent="0.25">
      <c r="A102" s="6">
        <v>101</v>
      </c>
      <c r="B102" s="11">
        <v>44933</v>
      </c>
      <c r="C102" s="2" t="s">
        <v>8</v>
      </c>
      <c r="D102" s="2">
        <v>3.99</v>
      </c>
      <c r="E102" s="2">
        <v>682</v>
      </c>
      <c r="F102" s="2" t="s">
        <v>7</v>
      </c>
      <c r="G102" s="2" t="s">
        <v>28</v>
      </c>
      <c r="H102" s="5" t="s">
        <v>19</v>
      </c>
      <c r="I102" s="2">
        <f>Orders[[#This Row],[Price]]*Orders[[#This Row],[Quantity]]</f>
        <v>2721.1800000000003</v>
      </c>
    </row>
    <row r="103" spans="1:9" x14ac:dyDescent="0.25">
      <c r="A103" s="6">
        <v>102</v>
      </c>
      <c r="B103" s="11">
        <v>44933</v>
      </c>
      <c r="C103" s="2" t="s">
        <v>6</v>
      </c>
      <c r="D103" s="2">
        <v>14.99</v>
      </c>
      <c r="E103" s="2">
        <v>509</v>
      </c>
      <c r="F103" s="2" t="s">
        <v>7</v>
      </c>
      <c r="G103" s="2" t="s">
        <v>20</v>
      </c>
      <c r="H103" s="5" t="s">
        <v>34</v>
      </c>
      <c r="I103" s="2">
        <f>Orders[[#This Row],[Price]]*Orders[[#This Row],[Quantity]]</f>
        <v>7629.91</v>
      </c>
    </row>
    <row r="104" spans="1:9" x14ac:dyDescent="0.25">
      <c r="A104" s="6">
        <v>103</v>
      </c>
      <c r="B104" s="11">
        <v>44934</v>
      </c>
      <c r="C104" s="2" t="s">
        <v>8</v>
      </c>
      <c r="D104" s="2">
        <v>12.99</v>
      </c>
      <c r="E104" s="2">
        <v>829</v>
      </c>
      <c r="F104" s="3" t="s">
        <v>2</v>
      </c>
      <c r="G104" s="2" t="s">
        <v>38</v>
      </c>
      <c r="H104" s="5" t="s">
        <v>19</v>
      </c>
      <c r="I104" s="2">
        <f>Orders[[#This Row],[Price]]*Orders[[#This Row],[Quantity]]</f>
        <v>10768.710000000001</v>
      </c>
    </row>
    <row r="105" spans="1:9" x14ac:dyDescent="0.25">
      <c r="A105" s="6">
        <v>104</v>
      </c>
      <c r="B105" s="11">
        <v>44934</v>
      </c>
      <c r="C105" s="3" t="s">
        <v>0</v>
      </c>
      <c r="D105" s="2">
        <v>14.99</v>
      </c>
      <c r="E105" s="2">
        <v>824</v>
      </c>
      <c r="F105" s="3" t="s">
        <v>2</v>
      </c>
      <c r="G105" s="2" t="s">
        <v>37</v>
      </c>
      <c r="H105" s="5" t="s">
        <v>29</v>
      </c>
      <c r="I105" s="2">
        <f>Orders[[#This Row],[Price]]*Orders[[#This Row],[Quantity]]</f>
        <v>12351.76</v>
      </c>
    </row>
    <row r="106" spans="1:9" x14ac:dyDescent="0.25">
      <c r="A106" s="6">
        <v>105</v>
      </c>
      <c r="B106" s="11">
        <v>44934</v>
      </c>
      <c r="C106" s="3" t="s">
        <v>5</v>
      </c>
      <c r="D106" s="2">
        <v>1.99</v>
      </c>
      <c r="E106" s="2">
        <v>736</v>
      </c>
      <c r="F106" s="2" t="s">
        <v>4</v>
      </c>
      <c r="G106" s="2" t="s">
        <v>38</v>
      </c>
      <c r="H106" s="5" t="s">
        <v>29</v>
      </c>
      <c r="I106" s="2">
        <f>Orders[[#This Row],[Price]]*Orders[[#This Row],[Quantity]]</f>
        <v>1464.64</v>
      </c>
    </row>
    <row r="107" spans="1:9" x14ac:dyDescent="0.25">
      <c r="A107" s="6">
        <v>106</v>
      </c>
      <c r="B107" s="11">
        <v>44934</v>
      </c>
      <c r="C107" s="2" t="s">
        <v>8</v>
      </c>
      <c r="D107" s="2">
        <v>6.99</v>
      </c>
      <c r="E107" s="2">
        <v>241</v>
      </c>
      <c r="F107" s="2" t="s">
        <v>7</v>
      </c>
      <c r="G107" s="2" t="s">
        <v>27</v>
      </c>
      <c r="H107" s="5" t="s">
        <v>29</v>
      </c>
      <c r="I107" s="2">
        <f>Orders[[#This Row],[Price]]*Orders[[#This Row],[Quantity]]</f>
        <v>1684.5900000000001</v>
      </c>
    </row>
    <row r="108" spans="1:9" x14ac:dyDescent="0.25">
      <c r="A108" s="6">
        <v>107</v>
      </c>
      <c r="B108" s="11">
        <v>44934</v>
      </c>
      <c r="C108" s="3" t="s">
        <v>5</v>
      </c>
      <c r="D108" s="2">
        <v>14.99</v>
      </c>
      <c r="E108" s="2">
        <v>140</v>
      </c>
      <c r="F108" s="3" t="s">
        <v>1</v>
      </c>
      <c r="G108" s="2" t="s">
        <v>31</v>
      </c>
      <c r="H108" s="5" t="s">
        <v>29</v>
      </c>
      <c r="I108" s="2">
        <f>Orders[[#This Row],[Price]]*Orders[[#This Row],[Quantity]]</f>
        <v>2098.6</v>
      </c>
    </row>
    <row r="109" spans="1:9" x14ac:dyDescent="0.25">
      <c r="A109" s="6">
        <v>108</v>
      </c>
      <c r="B109" s="11">
        <v>44934</v>
      </c>
      <c r="C109" s="3" t="s">
        <v>5</v>
      </c>
      <c r="D109" s="2">
        <v>6.99</v>
      </c>
      <c r="E109" s="2">
        <v>148</v>
      </c>
      <c r="F109" s="2" t="s">
        <v>4</v>
      </c>
      <c r="G109" s="2" t="s">
        <v>43</v>
      </c>
      <c r="H109" s="5" t="s">
        <v>9</v>
      </c>
      <c r="I109" s="2">
        <f>Orders[[#This Row],[Price]]*Orders[[#This Row],[Quantity]]</f>
        <v>1034.52</v>
      </c>
    </row>
    <row r="110" spans="1:9" x14ac:dyDescent="0.25">
      <c r="A110" s="6">
        <v>109</v>
      </c>
      <c r="B110" s="11">
        <v>44934</v>
      </c>
      <c r="C110" s="2" t="s">
        <v>8</v>
      </c>
      <c r="D110" s="2">
        <v>6.99</v>
      </c>
      <c r="E110" s="2">
        <v>840</v>
      </c>
      <c r="F110" s="2" t="s">
        <v>4</v>
      </c>
      <c r="G110" s="2" t="s">
        <v>22</v>
      </c>
      <c r="H110" s="5" t="s">
        <v>19</v>
      </c>
      <c r="I110" s="2">
        <f>Orders[[#This Row],[Price]]*Orders[[#This Row],[Quantity]]</f>
        <v>5871.6</v>
      </c>
    </row>
    <row r="111" spans="1:9" x14ac:dyDescent="0.25">
      <c r="A111" s="6">
        <v>110</v>
      </c>
      <c r="B111" s="11">
        <v>44934</v>
      </c>
      <c r="C111" s="3" t="s">
        <v>5</v>
      </c>
      <c r="D111" s="2">
        <v>14.99</v>
      </c>
      <c r="E111" s="2">
        <v>337</v>
      </c>
      <c r="F111" s="3" t="s">
        <v>1</v>
      </c>
      <c r="G111" s="2" t="s">
        <v>28</v>
      </c>
      <c r="H111" s="5" t="s">
        <v>21</v>
      </c>
      <c r="I111" s="2">
        <f>Orders[[#This Row],[Price]]*Orders[[#This Row],[Quantity]]</f>
        <v>5051.63</v>
      </c>
    </row>
    <row r="112" spans="1:9" x14ac:dyDescent="0.25">
      <c r="A112" s="6">
        <v>111</v>
      </c>
      <c r="B112" s="11">
        <v>44934</v>
      </c>
      <c r="C112" s="2" t="s">
        <v>6</v>
      </c>
      <c r="D112" s="2">
        <v>6.99</v>
      </c>
      <c r="E112" s="2">
        <v>898</v>
      </c>
      <c r="F112" s="3" t="s">
        <v>2</v>
      </c>
      <c r="G112" s="2" t="s">
        <v>20</v>
      </c>
      <c r="H112" s="5" t="s">
        <v>33</v>
      </c>
      <c r="I112" s="2">
        <f>Orders[[#This Row],[Price]]*Orders[[#This Row],[Quantity]]</f>
        <v>6277.02</v>
      </c>
    </row>
    <row r="113" spans="1:9" x14ac:dyDescent="0.25">
      <c r="A113" s="6">
        <v>112</v>
      </c>
      <c r="B113" s="11">
        <v>44934</v>
      </c>
      <c r="C113" s="3" t="s">
        <v>5</v>
      </c>
      <c r="D113" s="2">
        <v>12.99</v>
      </c>
      <c r="E113" s="2">
        <v>374</v>
      </c>
      <c r="F113" s="2" t="s">
        <v>4</v>
      </c>
      <c r="G113" s="2" t="s">
        <v>28</v>
      </c>
      <c r="H113" s="5" t="s">
        <v>23</v>
      </c>
      <c r="I113" s="2">
        <f>Orders[[#This Row],[Price]]*Orders[[#This Row],[Quantity]]</f>
        <v>4858.26</v>
      </c>
    </row>
    <row r="114" spans="1:9" x14ac:dyDescent="0.25">
      <c r="A114" s="6">
        <v>113</v>
      </c>
      <c r="B114" s="11">
        <v>44934</v>
      </c>
      <c r="C114" s="2" t="s">
        <v>3</v>
      </c>
      <c r="D114" s="2">
        <v>6.99</v>
      </c>
      <c r="E114" s="2">
        <v>479</v>
      </c>
      <c r="F114" s="2" t="s">
        <v>4</v>
      </c>
      <c r="G114" s="2" t="s">
        <v>40</v>
      </c>
      <c r="H114" s="5" t="s">
        <v>19</v>
      </c>
      <c r="I114" s="2">
        <f>Orders[[#This Row],[Price]]*Orders[[#This Row],[Quantity]]</f>
        <v>3348.21</v>
      </c>
    </row>
    <row r="115" spans="1:9" x14ac:dyDescent="0.25">
      <c r="A115" s="6">
        <v>114</v>
      </c>
      <c r="B115" s="11">
        <v>44934</v>
      </c>
      <c r="C115" s="2" t="s">
        <v>6</v>
      </c>
      <c r="D115" s="2">
        <v>3.99</v>
      </c>
      <c r="E115" s="2">
        <v>385</v>
      </c>
      <c r="F115" s="2" t="s">
        <v>4</v>
      </c>
      <c r="G115" s="2" t="s">
        <v>24</v>
      </c>
      <c r="H115" s="5" t="s">
        <v>34</v>
      </c>
      <c r="I115" s="2">
        <f>Orders[[#This Row],[Price]]*Orders[[#This Row],[Quantity]]</f>
        <v>1536.15</v>
      </c>
    </row>
    <row r="116" spans="1:9" x14ac:dyDescent="0.25">
      <c r="A116" s="6">
        <v>115</v>
      </c>
      <c r="B116" s="11">
        <v>44934</v>
      </c>
      <c r="C116" s="2" t="s">
        <v>8</v>
      </c>
      <c r="D116" s="2">
        <v>12.99</v>
      </c>
      <c r="E116" s="2">
        <v>725</v>
      </c>
      <c r="F116" s="3" t="s">
        <v>2</v>
      </c>
      <c r="G116" s="2" t="s">
        <v>40</v>
      </c>
      <c r="H116" s="5" t="s">
        <v>23</v>
      </c>
      <c r="I116" s="2">
        <f>Orders[[#This Row],[Price]]*Orders[[#This Row],[Quantity]]</f>
        <v>9417.75</v>
      </c>
    </row>
    <row r="117" spans="1:9" x14ac:dyDescent="0.25">
      <c r="A117" s="6">
        <v>116</v>
      </c>
      <c r="B117" s="11">
        <v>44934</v>
      </c>
      <c r="C117" s="2" t="s">
        <v>8</v>
      </c>
      <c r="D117" s="2">
        <v>14.99</v>
      </c>
      <c r="E117" s="2">
        <v>722</v>
      </c>
      <c r="F117" s="3" t="s">
        <v>2</v>
      </c>
      <c r="G117" s="2" t="s">
        <v>22</v>
      </c>
      <c r="H117" s="5" t="s">
        <v>9</v>
      </c>
      <c r="I117" s="2">
        <f>Orders[[#This Row],[Price]]*Orders[[#This Row],[Quantity]]</f>
        <v>10822.78</v>
      </c>
    </row>
    <row r="118" spans="1:9" x14ac:dyDescent="0.25">
      <c r="A118" s="6">
        <v>117</v>
      </c>
      <c r="B118" s="11">
        <v>44934</v>
      </c>
      <c r="C118" s="3" t="s">
        <v>0</v>
      </c>
      <c r="D118" s="2">
        <v>14.99</v>
      </c>
      <c r="E118" s="2">
        <v>248</v>
      </c>
      <c r="F118" s="3" t="s">
        <v>2</v>
      </c>
      <c r="G118" s="2" t="s">
        <v>24</v>
      </c>
      <c r="H118" s="5" t="s">
        <v>21</v>
      </c>
      <c r="I118" s="2">
        <f>Orders[[#This Row],[Price]]*Orders[[#This Row],[Quantity]]</f>
        <v>3717.52</v>
      </c>
    </row>
    <row r="119" spans="1:9" x14ac:dyDescent="0.25">
      <c r="A119" s="6">
        <v>118</v>
      </c>
      <c r="B119" s="11">
        <v>44935</v>
      </c>
      <c r="C119" s="2" t="s">
        <v>8</v>
      </c>
      <c r="D119" s="2">
        <v>1.99</v>
      </c>
      <c r="E119" s="2">
        <v>838</v>
      </c>
      <c r="F119" s="3" t="s">
        <v>1</v>
      </c>
      <c r="G119" s="2" t="s">
        <v>44</v>
      </c>
      <c r="H119" s="5" t="s">
        <v>32</v>
      </c>
      <c r="I119" s="2">
        <f>Orders[[#This Row],[Price]]*Orders[[#This Row],[Quantity]]</f>
        <v>1667.62</v>
      </c>
    </row>
    <row r="120" spans="1:9" x14ac:dyDescent="0.25">
      <c r="A120" s="6">
        <v>119</v>
      </c>
      <c r="B120" s="11">
        <v>44935</v>
      </c>
      <c r="C120" s="2" t="s">
        <v>6</v>
      </c>
      <c r="D120" s="2">
        <v>14.99</v>
      </c>
      <c r="E120" s="2">
        <v>304</v>
      </c>
      <c r="F120" s="3" t="s">
        <v>2</v>
      </c>
      <c r="G120" s="2" t="s">
        <v>31</v>
      </c>
      <c r="H120" s="5" t="s">
        <v>19</v>
      </c>
      <c r="I120" s="2">
        <f>Orders[[#This Row],[Price]]*Orders[[#This Row],[Quantity]]</f>
        <v>4556.96</v>
      </c>
    </row>
    <row r="121" spans="1:9" x14ac:dyDescent="0.25">
      <c r="A121" s="6">
        <v>120</v>
      </c>
      <c r="B121" s="11">
        <v>44935</v>
      </c>
      <c r="C121" s="2" t="s">
        <v>8</v>
      </c>
      <c r="D121" s="2">
        <v>12.99</v>
      </c>
      <c r="E121" s="2">
        <v>156</v>
      </c>
      <c r="F121" s="2" t="s">
        <v>7</v>
      </c>
      <c r="G121" s="2" t="s">
        <v>35</v>
      </c>
      <c r="H121" s="5" t="s">
        <v>9</v>
      </c>
      <c r="I121" s="2">
        <f>Orders[[#This Row],[Price]]*Orders[[#This Row],[Quantity]]</f>
        <v>2026.44</v>
      </c>
    </row>
    <row r="122" spans="1:9" x14ac:dyDescent="0.25">
      <c r="A122" s="6">
        <v>121</v>
      </c>
      <c r="B122" s="11">
        <v>44935</v>
      </c>
      <c r="C122" s="2" t="s">
        <v>6</v>
      </c>
      <c r="D122" s="2">
        <v>14.99</v>
      </c>
      <c r="E122" s="2">
        <v>265</v>
      </c>
      <c r="F122" s="2" t="s">
        <v>4</v>
      </c>
      <c r="G122" s="2" t="s">
        <v>35</v>
      </c>
      <c r="H122" s="5" t="s">
        <v>9</v>
      </c>
      <c r="I122" s="2">
        <f>Orders[[#This Row],[Price]]*Orders[[#This Row],[Quantity]]</f>
        <v>3972.35</v>
      </c>
    </row>
    <row r="123" spans="1:9" x14ac:dyDescent="0.25">
      <c r="A123" s="6">
        <v>122</v>
      </c>
      <c r="B123" s="11">
        <v>44935</v>
      </c>
      <c r="C123" s="2" t="s">
        <v>6</v>
      </c>
      <c r="D123" s="2">
        <v>12.99</v>
      </c>
      <c r="E123" s="2">
        <v>839</v>
      </c>
      <c r="F123" s="2" t="s">
        <v>4</v>
      </c>
      <c r="G123" s="2" t="s">
        <v>31</v>
      </c>
      <c r="H123" s="5" t="s">
        <v>21</v>
      </c>
      <c r="I123" s="2">
        <f>Orders[[#This Row],[Price]]*Orders[[#This Row],[Quantity]]</f>
        <v>10898.61</v>
      </c>
    </row>
    <row r="124" spans="1:9" x14ac:dyDescent="0.25">
      <c r="A124" s="6">
        <v>123</v>
      </c>
      <c r="B124" s="11">
        <v>44935</v>
      </c>
      <c r="C124" s="2" t="s">
        <v>3</v>
      </c>
      <c r="D124" s="2">
        <v>12.99</v>
      </c>
      <c r="E124" s="2">
        <v>370</v>
      </c>
      <c r="F124" s="2" t="s">
        <v>4</v>
      </c>
      <c r="G124" s="2" t="s">
        <v>40</v>
      </c>
      <c r="H124" s="5" t="s">
        <v>23</v>
      </c>
      <c r="I124" s="2">
        <f>Orders[[#This Row],[Price]]*Orders[[#This Row],[Quantity]]</f>
        <v>4806.3</v>
      </c>
    </row>
    <row r="125" spans="1:9" x14ac:dyDescent="0.25">
      <c r="A125" s="6">
        <v>124</v>
      </c>
      <c r="B125" s="11">
        <v>44935</v>
      </c>
      <c r="C125" s="2" t="s">
        <v>6</v>
      </c>
      <c r="D125" s="2">
        <v>3.99</v>
      </c>
      <c r="E125" s="2">
        <v>852</v>
      </c>
      <c r="F125" s="2" t="s">
        <v>7</v>
      </c>
      <c r="G125" s="2" t="s">
        <v>30</v>
      </c>
      <c r="H125" s="5" t="s">
        <v>9</v>
      </c>
      <c r="I125" s="2">
        <f>Orders[[#This Row],[Price]]*Orders[[#This Row],[Quantity]]</f>
        <v>3399.48</v>
      </c>
    </row>
    <row r="126" spans="1:9" x14ac:dyDescent="0.25">
      <c r="A126" s="6">
        <v>125</v>
      </c>
      <c r="B126" s="11">
        <v>44935</v>
      </c>
      <c r="C126" s="2" t="s">
        <v>3</v>
      </c>
      <c r="D126" s="2">
        <v>12.99</v>
      </c>
      <c r="E126" s="2">
        <v>220</v>
      </c>
      <c r="F126" s="2" t="s">
        <v>7</v>
      </c>
      <c r="G126" s="2" t="s">
        <v>38</v>
      </c>
      <c r="H126" s="5" t="s">
        <v>21</v>
      </c>
      <c r="I126" s="2">
        <f>Orders[[#This Row],[Price]]*Orders[[#This Row],[Quantity]]</f>
        <v>2857.8</v>
      </c>
    </row>
    <row r="127" spans="1:9" x14ac:dyDescent="0.25">
      <c r="A127" s="6">
        <v>126</v>
      </c>
      <c r="B127" s="11">
        <v>44935</v>
      </c>
      <c r="C127" s="2" t="s">
        <v>8</v>
      </c>
      <c r="D127" s="2">
        <v>3.99</v>
      </c>
      <c r="E127" s="2">
        <v>847</v>
      </c>
      <c r="F127" s="2" t="s">
        <v>7</v>
      </c>
      <c r="G127" s="2" t="s">
        <v>45</v>
      </c>
      <c r="H127" s="5" t="s">
        <v>32</v>
      </c>
      <c r="I127" s="2">
        <f>Orders[[#This Row],[Price]]*Orders[[#This Row],[Quantity]]</f>
        <v>3379.53</v>
      </c>
    </row>
    <row r="128" spans="1:9" x14ac:dyDescent="0.25">
      <c r="A128" s="6">
        <v>127</v>
      </c>
      <c r="B128" s="11">
        <v>44935</v>
      </c>
      <c r="C128" s="3" t="s">
        <v>0</v>
      </c>
      <c r="D128" s="2">
        <v>14.99</v>
      </c>
      <c r="E128" s="2">
        <v>739</v>
      </c>
      <c r="F128" s="2" t="s">
        <v>4</v>
      </c>
      <c r="G128" s="2" t="s">
        <v>20</v>
      </c>
      <c r="H128" s="5" t="s">
        <v>19</v>
      </c>
      <c r="I128" s="2">
        <f>Orders[[#This Row],[Price]]*Orders[[#This Row],[Quantity]]</f>
        <v>11077.61</v>
      </c>
    </row>
    <row r="129" spans="1:9" x14ac:dyDescent="0.25">
      <c r="A129" s="6">
        <v>128</v>
      </c>
      <c r="B129" s="11">
        <v>44935</v>
      </c>
      <c r="C129" s="3" t="s">
        <v>0</v>
      </c>
      <c r="D129" s="2">
        <v>1.99</v>
      </c>
      <c r="E129" s="2">
        <v>468</v>
      </c>
      <c r="F129" s="3" t="s">
        <v>1</v>
      </c>
      <c r="G129" s="2" t="s">
        <v>31</v>
      </c>
      <c r="H129" s="5" t="s">
        <v>33</v>
      </c>
      <c r="I129" s="2">
        <f>Orders[[#This Row],[Price]]*Orders[[#This Row],[Quantity]]</f>
        <v>931.32</v>
      </c>
    </row>
    <row r="130" spans="1:9" x14ac:dyDescent="0.25">
      <c r="A130" s="6">
        <v>129</v>
      </c>
      <c r="B130" s="11">
        <v>44935</v>
      </c>
      <c r="C130" s="2" t="s">
        <v>3</v>
      </c>
      <c r="D130" s="2">
        <v>1.99</v>
      </c>
      <c r="E130" s="2">
        <v>339</v>
      </c>
      <c r="F130" s="3" t="s">
        <v>1</v>
      </c>
      <c r="G130" s="2" t="s">
        <v>22</v>
      </c>
      <c r="H130" s="5" t="s">
        <v>21</v>
      </c>
      <c r="I130" s="2">
        <f>Orders[[#This Row],[Price]]*Orders[[#This Row],[Quantity]]</f>
        <v>674.61</v>
      </c>
    </row>
    <row r="131" spans="1:9" x14ac:dyDescent="0.25">
      <c r="A131" s="6">
        <v>130</v>
      </c>
      <c r="B131" s="11">
        <v>44935</v>
      </c>
      <c r="C131" s="2" t="s">
        <v>3</v>
      </c>
      <c r="D131" s="2">
        <v>3.99</v>
      </c>
      <c r="E131" s="2">
        <v>141</v>
      </c>
      <c r="F131" s="2" t="s">
        <v>7</v>
      </c>
      <c r="G131" s="2" t="s">
        <v>37</v>
      </c>
      <c r="H131" s="5" t="s">
        <v>34</v>
      </c>
      <c r="I131" s="2">
        <f>Orders[[#This Row],[Price]]*Orders[[#This Row],[Quantity]]</f>
        <v>562.59</v>
      </c>
    </row>
    <row r="132" spans="1:9" x14ac:dyDescent="0.25">
      <c r="A132" s="6">
        <v>131</v>
      </c>
      <c r="B132" s="11">
        <v>44935</v>
      </c>
      <c r="C132" s="3" t="s">
        <v>0</v>
      </c>
      <c r="D132" s="2">
        <v>3.99</v>
      </c>
      <c r="E132" s="2">
        <v>879</v>
      </c>
      <c r="F132" s="3" t="s">
        <v>2</v>
      </c>
      <c r="G132" s="2" t="s">
        <v>20</v>
      </c>
      <c r="H132" s="5" t="s">
        <v>21</v>
      </c>
      <c r="I132" s="2">
        <f>Orders[[#This Row],[Price]]*Orders[[#This Row],[Quantity]]</f>
        <v>3507.21</v>
      </c>
    </row>
    <row r="133" spans="1:9" x14ac:dyDescent="0.25">
      <c r="A133" s="6">
        <v>132</v>
      </c>
      <c r="B133" s="11">
        <v>44935</v>
      </c>
      <c r="C133" s="2" t="s">
        <v>8</v>
      </c>
      <c r="D133" s="2">
        <v>1.99</v>
      </c>
      <c r="E133" s="2">
        <v>284</v>
      </c>
      <c r="F133" s="3" t="s">
        <v>2</v>
      </c>
      <c r="G133" s="2" t="s">
        <v>24</v>
      </c>
      <c r="H133" s="5" t="s">
        <v>29</v>
      </c>
      <c r="I133" s="2">
        <f>Orders[[#This Row],[Price]]*Orders[[#This Row],[Quantity]]</f>
        <v>565.16</v>
      </c>
    </row>
    <row r="134" spans="1:9" x14ac:dyDescent="0.25">
      <c r="A134" s="6">
        <v>133</v>
      </c>
      <c r="B134" s="11">
        <v>44936</v>
      </c>
      <c r="C134" s="2" t="s">
        <v>6</v>
      </c>
      <c r="D134" s="2">
        <v>14.99</v>
      </c>
      <c r="E134" s="2">
        <v>478</v>
      </c>
      <c r="F134" s="3" t="s">
        <v>1</v>
      </c>
      <c r="G134" s="2" t="s">
        <v>31</v>
      </c>
      <c r="H134" s="5" t="s">
        <v>32</v>
      </c>
      <c r="I134" s="2">
        <f>Orders[[#This Row],[Price]]*Orders[[#This Row],[Quantity]]</f>
        <v>7165.22</v>
      </c>
    </row>
    <row r="135" spans="1:9" x14ac:dyDescent="0.25">
      <c r="A135" s="6">
        <v>134</v>
      </c>
      <c r="B135" s="11">
        <v>44936</v>
      </c>
      <c r="C135" s="3" t="s">
        <v>0</v>
      </c>
      <c r="D135" s="2">
        <v>12.99</v>
      </c>
      <c r="E135" s="2">
        <v>329</v>
      </c>
      <c r="F135" s="3" t="s">
        <v>1</v>
      </c>
      <c r="G135" s="2" t="s">
        <v>27</v>
      </c>
      <c r="H135" s="5" t="s">
        <v>33</v>
      </c>
      <c r="I135" s="2">
        <f>Orders[[#This Row],[Price]]*Orders[[#This Row],[Quantity]]</f>
        <v>4273.71</v>
      </c>
    </row>
    <row r="136" spans="1:9" x14ac:dyDescent="0.25">
      <c r="A136" s="6">
        <v>135</v>
      </c>
      <c r="B136" s="11">
        <v>44936</v>
      </c>
      <c r="C136" s="2" t="s">
        <v>8</v>
      </c>
      <c r="D136" s="2">
        <v>1.99</v>
      </c>
      <c r="E136" s="2">
        <v>324</v>
      </c>
      <c r="F136" s="2" t="s">
        <v>7</v>
      </c>
      <c r="G136" s="2" t="s">
        <v>27</v>
      </c>
      <c r="H136" s="5" t="s">
        <v>34</v>
      </c>
      <c r="I136" s="2">
        <f>Orders[[#This Row],[Price]]*Orders[[#This Row],[Quantity]]</f>
        <v>644.76</v>
      </c>
    </row>
    <row r="137" spans="1:9" x14ac:dyDescent="0.25">
      <c r="A137" s="6">
        <v>136</v>
      </c>
      <c r="B137" s="11">
        <v>44936</v>
      </c>
      <c r="C137" s="2" t="s">
        <v>8</v>
      </c>
      <c r="D137" s="2">
        <v>14.99</v>
      </c>
      <c r="E137" s="2">
        <v>740</v>
      </c>
      <c r="F137" s="3" t="s">
        <v>1</v>
      </c>
      <c r="G137" s="2" t="s">
        <v>27</v>
      </c>
      <c r="H137" s="5" t="s">
        <v>32</v>
      </c>
      <c r="I137" s="2">
        <f>Orders[[#This Row],[Price]]*Orders[[#This Row],[Quantity]]</f>
        <v>11092.6</v>
      </c>
    </row>
    <row r="138" spans="1:9" x14ac:dyDescent="0.25">
      <c r="A138" s="6">
        <v>137</v>
      </c>
      <c r="B138" s="11">
        <v>44936</v>
      </c>
      <c r="C138" s="2" t="s">
        <v>6</v>
      </c>
      <c r="D138" s="2">
        <v>14.99</v>
      </c>
      <c r="E138" s="2">
        <v>811</v>
      </c>
      <c r="F138" s="2" t="s">
        <v>4</v>
      </c>
      <c r="G138" s="2" t="s">
        <v>31</v>
      </c>
      <c r="H138" s="5" t="s">
        <v>34</v>
      </c>
      <c r="I138" s="2">
        <f>Orders[[#This Row],[Price]]*Orders[[#This Row],[Quantity]]</f>
        <v>12156.89</v>
      </c>
    </row>
    <row r="139" spans="1:9" x14ac:dyDescent="0.25">
      <c r="A139" s="6">
        <v>138</v>
      </c>
      <c r="B139" s="11">
        <v>44936</v>
      </c>
      <c r="C139" s="2" t="s">
        <v>8</v>
      </c>
      <c r="D139" s="2">
        <v>12.99</v>
      </c>
      <c r="E139" s="2">
        <v>298</v>
      </c>
      <c r="F139" s="2" t="s">
        <v>4</v>
      </c>
      <c r="G139" s="2" t="s">
        <v>28</v>
      </c>
      <c r="H139" s="5" t="s">
        <v>9</v>
      </c>
      <c r="I139" s="2">
        <f>Orders[[#This Row],[Price]]*Orders[[#This Row],[Quantity]]</f>
        <v>3871.02</v>
      </c>
    </row>
    <row r="140" spans="1:9" x14ac:dyDescent="0.25">
      <c r="A140" s="6">
        <v>139</v>
      </c>
      <c r="B140" s="11">
        <v>44936</v>
      </c>
      <c r="C140" s="2" t="s">
        <v>8</v>
      </c>
      <c r="D140" s="2">
        <v>14.99</v>
      </c>
      <c r="E140" s="2">
        <v>726</v>
      </c>
      <c r="F140" s="2" t="s">
        <v>4</v>
      </c>
      <c r="G140" s="2" t="s">
        <v>18</v>
      </c>
      <c r="H140" s="5" t="s">
        <v>9</v>
      </c>
      <c r="I140" s="2">
        <f>Orders[[#This Row],[Price]]*Orders[[#This Row],[Quantity]]</f>
        <v>10882.74</v>
      </c>
    </row>
    <row r="141" spans="1:9" x14ac:dyDescent="0.25">
      <c r="A141" s="6">
        <v>140</v>
      </c>
      <c r="B141" s="11">
        <v>44936</v>
      </c>
      <c r="C141" s="3" t="s">
        <v>5</v>
      </c>
      <c r="D141" s="2">
        <v>14.99</v>
      </c>
      <c r="E141" s="2">
        <v>644</v>
      </c>
      <c r="F141" s="2" t="s">
        <v>4</v>
      </c>
      <c r="G141" s="2" t="s">
        <v>46</v>
      </c>
      <c r="H141" s="5" t="s">
        <v>34</v>
      </c>
      <c r="I141" s="2">
        <f>Orders[[#This Row],[Price]]*Orders[[#This Row],[Quantity]]</f>
        <v>9653.56</v>
      </c>
    </row>
    <row r="142" spans="1:9" x14ac:dyDescent="0.25">
      <c r="A142" s="6">
        <v>141</v>
      </c>
      <c r="B142" s="11">
        <v>44936</v>
      </c>
      <c r="C142" s="2" t="s">
        <v>3</v>
      </c>
      <c r="D142" s="2">
        <v>6.99</v>
      </c>
      <c r="E142" s="2">
        <v>247</v>
      </c>
      <c r="F142" s="2" t="s">
        <v>7</v>
      </c>
      <c r="G142" s="2" t="s">
        <v>35</v>
      </c>
      <c r="H142" s="5" t="s">
        <v>21</v>
      </c>
      <c r="I142" s="2">
        <f>Orders[[#This Row],[Price]]*Orders[[#This Row],[Quantity]]</f>
        <v>1726.53</v>
      </c>
    </row>
    <row r="143" spans="1:9" x14ac:dyDescent="0.25">
      <c r="A143" s="6">
        <v>142</v>
      </c>
      <c r="B143" s="11">
        <v>44936</v>
      </c>
      <c r="C143" s="2" t="s">
        <v>8</v>
      </c>
      <c r="D143" s="2">
        <v>3.99</v>
      </c>
      <c r="E143" s="2">
        <v>457</v>
      </c>
      <c r="F143" s="3" t="s">
        <v>2</v>
      </c>
      <c r="G143" s="2" t="s">
        <v>20</v>
      </c>
      <c r="H143" s="5" t="s">
        <v>23</v>
      </c>
      <c r="I143" s="2">
        <f>Orders[[#This Row],[Price]]*Orders[[#This Row],[Quantity]]</f>
        <v>1823.43</v>
      </c>
    </row>
    <row r="144" spans="1:9" x14ac:dyDescent="0.25">
      <c r="A144" s="6">
        <v>143</v>
      </c>
      <c r="B144" s="11">
        <v>44936</v>
      </c>
      <c r="C144" s="2" t="s">
        <v>8</v>
      </c>
      <c r="D144" s="2">
        <v>14.99</v>
      </c>
      <c r="E144" s="2">
        <v>207</v>
      </c>
      <c r="F144" s="2" t="s">
        <v>7</v>
      </c>
      <c r="G144" s="2" t="s">
        <v>22</v>
      </c>
      <c r="H144" s="5" t="s">
        <v>33</v>
      </c>
      <c r="I144" s="2">
        <f>Orders[[#This Row],[Price]]*Orders[[#This Row],[Quantity]]</f>
        <v>3102.93</v>
      </c>
    </row>
    <row r="145" spans="1:9" x14ac:dyDescent="0.25">
      <c r="A145" s="6">
        <v>144</v>
      </c>
      <c r="B145" s="11">
        <v>44936</v>
      </c>
      <c r="C145" s="3" t="s">
        <v>0</v>
      </c>
      <c r="D145" s="2">
        <v>14.99</v>
      </c>
      <c r="E145" s="2">
        <v>755</v>
      </c>
      <c r="F145" s="2" t="s">
        <v>4</v>
      </c>
      <c r="G145" s="2" t="s">
        <v>31</v>
      </c>
      <c r="H145" s="5" t="s">
        <v>32</v>
      </c>
      <c r="I145" s="2">
        <f>Orders[[#This Row],[Price]]*Orders[[#This Row],[Quantity]]</f>
        <v>11317.45</v>
      </c>
    </row>
    <row r="146" spans="1:9" x14ac:dyDescent="0.25">
      <c r="A146" s="6">
        <v>145</v>
      </c>
      <c r="B146" s="11">
        <v>44936</v>
      </c>
      <c r="C146" s="2" t="s">
        <v>3</v>
      </c>
      <c r="D146" s="2">
        <v>1.99</v>
      </c>
      <c r="E146" s="2">
        <v>259</v>
      </c>
      <c r="F146" s="2" t="s">
        <v>7</v>
      </c>
      <c r="G146" s="2" t="s">
        <v>28</v>
      </c>
      <c r="H146" s="5" t="s">
        <v>29</v>
      </c>
      <c r="I146" s="2">
        <f>Orders[[#This Row],[Price]]*Orders[[#This Row],[Quantity]]</f>
        <v>515.41</v>
      </c>
    </row>
    <row r="147" spans="1:9" x14ac:dyDescent="0.25">
      <c r="A147" s="6">
        <v>146</v>
      </c>
      <c r="B147" s="11">
        <v>44936</v>
      </c>
      <c r="C147" s="2" t="s">
        <v>6</v>
      </c>
      <c r="D147" s="2">
        <v>3.99</v>
      </c>
      <c r="E147" s="2">
        <v>427</v>
      </c>
      <c r="F147" s="2" t="s">
        <v>7</v>
      </c>
      <c r="G147" s="2" t="s">
        <v>27</v>
      </c>
      <c r="H147" s="5" t="s">
        <v>23</v>
      </c>
      <c r="I147" s="2">
        <f>Orders[[#This Row],[Price]]*Orders[[#This Row],[Quantity]]</f>
        <v>1703.73</v>
      </c>
    </row>
    <row r="148" spans="1:9" x14ac:dyDescent="0.25">
      <c r="A148" s="6">
        <v>147</v>
      </c>
      <c r="B148" s="11">
        <v>44936</v>
      </c>
      <c r="C148" s="3" t="s">
        <v>5</v>
      </c>
      <c r="D148" s="2">
        <v>12.99</v>
      </c>
      <c r="E148" s="2">
        <v>298</v>
      </c>
      <c r="F148" s="3" t="s">
        <v>2</v>
      </c>
      <c r="G148" s="2" t="s">
        <v>22</v>
      </c>
      <c r="H148" s="5" t="s">
        <v>34</v>
      </c>
      <c r="I148" s="2">
        <f>Orders[[#This Row],[Price]]*Orders[[#This Row],[Quantity]]</f>
        <v>3871.02</v>
      </c>
    </row>
    <row r="149" spans="1:9" x14ac:dyDescent="0.25">
      <c r="A149" s="6">
        <v>148</v>
      </c>
      <c r="B149" s="11">
        <v>44937</v>
      </c>
      <c r="C149" s="2" t="s">
        <v>8</v>
      </c>
      <c r="D149" s="2">
        <v>6.99</v>
      </c>
      <c r="E149" s="2">
        <v>427</v>
      </c>
      <c r="F149" s="2" t="s">
        <v>7</v>
      </c>
      <c r="G149" s="2" t="s">
        <v>20</v>
      </c>
      <c r="H149" s="5" t="s">
        <v>19</v>
      </c>
      <c r="I149" s="2">
        <f>Orders[[#This Row],[Price]]*Orders[[#This Row],[Quantity]]</f>
        <v>2984.73</v>
      </c>
    </row>
    <row r="150" spans="1:9" x14ac:dyDescent="0.25">
      <c r="A150" s="6">
        <v>149</v>
      </c>
      <c r="B150" s="11">
        <v>44937</v>
      </c>
      <c r="C150" s="2" t="s">
        <v>8</v>
      </c>
      <c r="D150" s="2">
        <v>14.99</v>
      </c>
      <c r="E150" s="2">
        <v>279</v>
      </c>
      <c r="F150" s="3" t="s">
        <v>1</v>
      </c>
      <c r="G150" s="2" t="s">
        <v>27</v>
      </c>
      <c r="H150" s="5" t="s">
        <v>33</v>
      </c>
      <c r="I150" s="2">
        <f>Orders[[#This Row],[Price]]*Orders[[#This Row],[Quantity]]</f>
        <v>4182.21</v>
      </c>
    </row>
    <row r="151" spans="1:9" x14ac:dyDescent="0.25">
      <c r="A151" s="6">
        <v>150</v>
      </c>
      <c r="B151" s="11">
        <v>44937</v>
      </c>
      <c r="C151" s="3" t="s">
        <v>0</v>
      </c>
      <c r="D151" s="2">
        <v>14.99</v>
      </c>
      <c r="E151" s="2">
        <v>552</v>
      </c>
      <c r="F151" s="2" t="s">
        <v>4</v>
      </c>
      <c r="G151" s="2" t="s">
        <v>35</v>
      </c>
      <c r="H151" s="5" t="s">
        <v>9</v>
      </c>
      <c r="I151" s="2">
        <f>Orders[[#This Row],[Price]]*Orders[[#This Row],[Quantity]]</f>
        <v>8274.48</v>
      </c>
    </row>
    <row r="152" spans="1:9" x14ac:dyDescent="0.25">
      <c r="A152" s="6">
        <v>151</v>
      </c>
      <c r="B152" s="11">
        <v>44937</v>
      </c>
      <c r="C152" s="2" t="s">
        <v>3</v>
      </c>
      <c r="D152" s="2">
        <v>1.99</v>
      </c>
      <c r="E152" s="2">
        <v>514</v>
      </c>
      <c r="F152" s="2" t="s">
        <v>4</v>
      </c>
      <c r="G152" s="2" t="s">
        <v>28</v>
      </c>
      <c r="H152" s="5" t="s">
        <v>32</v>
      </c>
      <c r="I152" s="2">
        <f>Orders[[#This Row],[Price]]*Orders[[#This Row],[Quantity]]</f>
        <v>1022.86</v>
      </c>
    </row>
    <row r="153" spans="1:9" x14ac:dyDescent="0.25">
      <c r="A153" s="6">
        <v>152</v>
      </c>
      <c r="B153" s="11">
        <v>44937</v>
      </c>
      <c r="C153" s="2" t="s">
        <v>3</v>
      </c>
      <c r="D153" s="2">
        <v>3.99</v>
      </c>
      <c r="E153" s="2">
        <v>864</v>
      </c>
      <c r="F153" s="2" t="s">
        <v>4</v>
      </c>
      <c r="G153" s="2" t="s">
        <v>18</v>
      </c>
      <c r="H153" s="5" t="s">
        <v>34</v>
      </c>
      <c r="I153" s="2">
        <f>Orders[[#This Row],[Price]]*Orders[[#This Row],[Quantity]]</f>
        <v>3447.36</v>
      </c>
    </row>
    <row r="154" spans="1:9" x14ac:dyDescent="0.25">
      <c r="A154" s="6">
        <v>153</v>
      </c>
      <c r="B154" s="11">
        <v>44937</v>
      </c>
      <c r="C154" s="2" t="s">
        <v>3</v>
      </c>
      <c r="D154" s="2">
        <v>3.99</v>
      </c>
      <c r="E154" s="2">
        <v>671</v>
      </c>
      <c r="F154" s="2" t="s">
        <v>4</v>
      </c>
      <c r="G154" s="2" t="s">
        <v>47</v>
      </c>
      <c r="H154" s="5" t="s">
        <v>29</v>
      </c>
      <c r="I154" s="2">
        <f>Orders[[#This Row],[Price]]*Orders[[#This Row],[Quantity]]</f>
        <v>2677.29</v>
      </c>
    </row>
    <row r="155" spans="1:9" x14ac:dyDescent="0.25">
      <c r="A155" s="6">
        <v>154</v>
      </c>
      <c r="B155" s="11">
        <v>44937</v>
      </c>
      <c r="C155" s="3" t="s">
        <v>5</v>
      </c>
      <c r="D155" s="2">
        <v>3.99</v>
      </c>
      <c r="E155" s="2">
        <v>668</v>
      </c>
      <c r="F155" s="2" t="s">
        <v>4</v>
      </c>
      <c r="G155" s="2" t="s">
        <v>27</v>
      </c>
      <c r="H155" s="5" t="s">
        <v>33</v>
      </c>
      <c r="I155" s="2">
        <f>Orders[[#This Row],[Price]]*Orders[[#This Row],[Quantity]]</f>
        <v>2665.32</v>
      </c>
    </row>
    <row r="156" spans="1:9" x14ac:dyDescent="0.25">
      <c r="A156" s="6">
        <v>155</v>
      </c>
      <c r="B156" s="11">
        <v>44937</v>
      </c>
      <c r="C156" s="2" t="s">
        <v>6</v>
      </c>
      <c r="D156" s="2">
        <v>6.99</v>
      </c>
      <c r="E156" s="2">
        <v>163</v>
      </c>
      <c r="F156" s="3" t="s">
        <v>2</v>
      </c>
      <c r="G156" s="2" t="s">
        <v>48</v>
      </c>
      <c r="H156" s="5" t="s">
        <v>32</v>
      </c>
      <c r="I156" s="2">
        <f>Orders[[#This Row],[Price]]*Orders[[#This Row],[Quantity]]</f>
        <v>1139.3700000000001</v>
      </c>
    </row>
    <row r="157" spans="1:9" x14ac:dyDescent="0.25">
      <c r="A157" s="6">
        <v>156</v>
      </c>
      <c r="B157" s="11">
        <v>44937</v>
      </c>
      <c r="C157" s="3" t="s">
        <v>5</v>
      </c>
      <c r="D157" s="2">
        <v>12.99</v>
      </c>
      <c r="E157" s="2">
        <v>145</v>
      </c>
      <c r="F157" s="3" t="s">
        <v>2</v>
      </c>
      <c r="G157" s="2" t="s">
        <v>40</v>
      </c>
      <c r="H157" s="5" t="s">
        <v>23</v>
      </c>
      <c r="I157" s="2">
        <f>Orders[[#This Row],[Price]]*Orders[[#This Row],[Quantity]]</f>
        <v>1883.55</v>
      </c>
    </row>
    <row r="158" spans="1:9" x14ac:dyDescent="0.25">
      <c r="A158" s="6">
        <v>157</v>
      </c>
      <c r="B158" s="11">
        <v>44937</v>
      </c>
      <c r="C158" s="3" t="s">
        <v>5</v>
      </c>
      <c r="D158" s="2">
        <v>6.99</v>
      </c>
      <c r="E158" s="2">
        <v>115</v>
      </c>
      <c r="F158" s="3" t="s">
        <v>1</v>
      </c>
      <c r="G158" s="2" t="s">
        <v>20</v>
      </c>
      <c r="H158" s="5" t="s">
        <v>23</v>
      </c>
      <c r="I158" s="2">
        <f>Orders[[#This Row],[Price]]*Orders[[#This Row],[Quantity]]</f>
        <v>803.85</v>
      </c>
    </row>
    <row r="159" spans="1:9" x14ac:dyDescent="0.25">
      <c r="A159" s="6">
        <v>158</v>
      </c>
      <c r="B159" s="11">
        <v>44937</v>
      </c>
      <c r="C159" s="2" t="s">
        <v>8</v>
      </c>
      <c r="D159" s="2">
        <v>6.99</v>
      </c>
      <c r="E159" s="2">
        <v>872</v>
      </c>
      <c r="F159" s="3" t="s">
        <v>1</v>
      </c>
      <c r="G159" s="2" t="s">
        <v>31</v>
      </c>
      <c r="H159" s="5" t="s">
        <v>9</v>
      </c>
      <c r="I159" s="2">
        <f>Orders[[#This Row],[Price]]*Orders[[#This Row],[Quantity]]</f>
        <v>6095.28</v>
      </c>
    </row>
    <row r="160" spans="1:9" x14ac:dyDescent="0.25">
      <c r="A160" s="6">
        <v>159</v>
      </c>
      <c r="B160" s="11">
        <v>44937</v>
      </c>
      <c r="C160" s="3" t="s">
        <v>0</v>
      </c>
      <c r="D160" s="2">
        <v>14.99</v>
      </c>
      <c r="E160" s="2">
        <v>242</v>
      </c>
      <c r="F160" s="2" t="s">
        <v>4</v>
      </c>
      <c r="G160" s="2" t="s">
        <v>20</v>
      </c>
      <c r="H160" s="5" t="s">
        <v>29</v>
      </c>
      <c r="I160" s="2">
        <f>Orders[[#This Row],[Price]]*Orders[[#This Row],[Quantity]]</f>
        <v>3627.58</v>
      </c>
    </row>
    <row r="161" spans="1:9" x14ac:dyDescent="0.25">
      <c r="A161" s="6">
        <v>160</v>
      </c>
      <c r="B161" s="11">
        <v>44937</v>
      </c>
      <c r="C161" s="2" t="s">
        <v>6</v>
      </c>
      <c r="D161" s="2">
        <v>1.99</v>
      </c>
      <c r="E161" s="2">
        <v>545</v>
      </c>
      <c r="F161" s="2" t="s">
        <v>7</v>
      </c>
      <c r="G161" s="2" t="s">
        <v>24</v>
      </c>
      <c r="H161" s="5" t="s">
        <v>29</v>
      </c>
      <c r="I161" s="2">
        <f>Orders[[#This Row],[Price]]*Orders[[#This Row],[Quantity]]</f>
        <v>1084.55</v>
      </c>
    </row>
    <row r="162" spans="1:9" x14ac:dyDescent="0.25">
      <c r="A162" s="6">
        <v>161</v>
      </c>
      <c r="B162" s="11">
        <v>44937</v>
      </c>
      <c r="C162" s="3" t="s">
        <v>0</v>
      </c>
      <c r="D162" s="2">
        <v>12.99</v>
      </c>
      <c r="E162" s="2">
        <v>483</v>
      </c>
      <c r="F162" s="3" t="s">
        <v>2</v>
      </c>
      <c r="G162" s="2" t="s">
        <v>22</v>
      </c>
      <c r="H162" s="5" t="s">
        <v>34</v>
      </c>
      <c r="I162" s="2">
        <f>Orders[[#This Row],[Price]]*Orders[[#This Row],[Quantity]]</f>
        <v>6274.17</v>
      </c>
    </row>
    <row r="163" spans="1:9" x14ac:dyDescent="0.25">
      <c r="A163" s="6">
        <v>162</v>
      </c>
      <c r="B163" s="11">
        <v>44937</v>
      </c>
      <c r="C163" s="2" t="s">
        <v>3</v>
      </c>
      <c r="D163" s="2">
        <v>1.99</v>
      </c>
      <c r="E163" s="2">
        <v>501</v>
      </c>
      <c r="F163" s="3" t="s">
        <v>1</v>
      </c>
      <c r="G163" s="2" t="s">
        <v>35</v>
      </c>
      <c r="H163" s="5" t="s">
        <v>33</v>
      </c>
      <c r="I163" s="2">
        <f>Orders[[#This Row],[Price]]*Orders[[#This Row],[Quantity]]</f>
        <v>996.99</v>
      </c>
    </row>
    <row r="164" spans="1:9" x14ac:dyDescent="0.25">
      <c r="A164" s="6">
        <v>163</v>
      </c>
      <c r="B164" s="11">
        <v>44938</v>
      </c>
      <c r="C164" s="2" t="s">
        <v>8</v>
      </c>
      <c r="D164" s="2">
        <v>3.99</v>
      </c>
      <c r="E164" s="2">
        <v>427</v>
      </c>
      <c r="F164" s="3" t="s">
        <v>2</v>
      </c>
      <c r="G164" s="2" t="s">
        <v>20</v>
      </c>
      <c r="H164" s="5" t="s">
        <v>21</v>
      </c>
      <c r="I164" s="2">
        <f>Orders[[#This Row],[Price]]*Orders[[#This Row],[Quantity]]</f>
        <v>1703.73</v>
      </c>
    </row>
    <row r="165" spans="1:9" x14ac:dyDescent="0.25">
      <c r="A165" s="6">
        <v>164</v>
      </c>
      <c r="B165" s="11">
        <v>44938</v>
      </c>
      <c r="C165" s="3" t="s">
        <v>0</v>
      </c>
      <c r="D165" s="2">
        <v>14.99</v>
      </c>
      <c r="E165" s="2">
        <v>593</v>
      </c>
      <c r="F165" s="2" t="s">
        <v>4</v>
      </c>
      <c r="G165" s="2" t="s">
        <v>20</v>
      </c>
      <c r="H165" s="5" t="s">
        <v>23</v>
      </c>
      <c r="I165" s="2">
        <f>Orders[[#This Row],[Price]]*Orders[[#This Row],[Quantity]]</f>
        <v>8889.07</v>
      </c>
    </row>
    <row r="166" spans="1:9" x14ac:dyDescent="0.25">
      <c r="A166" s="6">
        <v>165</v>
      </c>
      <c r="B166" s="11">
        <v>44938</v>
      </c>
      <c r="C166" s="2" t="s">
        <v>6</v>
      </c>
      <c r="D166" s="2">
        <v>1.99</v>
      </c>
      <c r="E166" s="2">
        <v>416</v>
      </c>
      <c r="F166" s="3" t="s">
        <v>2</v>
      </c>
      <c r="G166" s="2" t="s">
        <v>27</v>
      </c>
      <c r="H166" s="5" t="s">
        <v>23</v>
      </c>
      <c r="I166" s="2">
        <f>Orders[[#This Row],[Price]]*Orders[[#This Row],[Quantity]]</f>
        <v>827.84</v>
      </c>
    </row>
    <row r="167" spans="1:9" x14ac:dyDescent="0.25">
      <c r="A167" s="6">
        <v>166</v>
      </c>
      <c r="B167" s="11">
        <v>44938</v>
      </c>
      <c r="C167" s="3" t="s">
        <v>0</v>
      </c>
      <c r="D167" s="2">
        <v>12.99</v>
      </c>
      <c r="E167" s="2">
        <v>672</v>
      </c>
      <c r="F167" s="2" t="s">
        <v>4</v>
      </c>
      <c r="G167" s="2" t="s">
        <v>40</v>
      </c>
      <c r="H167" s="5" t="s">
        <v>33</v>
      </c>
      <c r="I167" s="2">
        <f>Orders[[#This Row],[Price]]*Orders[[#This Row],[Quantity]]</f>
        <v>8729.2800000000007</v>
      </c>
    </row>
    <row r="168" spans="1:9" x14ac:dyDescent="0.25">
      <c r="A168" s="6">
        <v>167</v>
      </c>
      <c r="B168" s="11">
        <v>44938</v>
      </c>
      <c r="C168" s="2" t="s">
        <v>3</v>
      </c>
      <c r="D168" s="2">
        <v>1.99</v>
      </c>
      <c r="E168" s="2">
        <v>753</v>
      </c>
      <c r="F168" s="3" t="s">
        <v>2</v>
      </c>
      <c r="G168" s="2" t="s">
        <v>22</v>
      </c>
      <c r="H168" s="5" t="s">
        <v>29</v>
      </c>
      <c r="I168" s="2">
        <f>Orders[[#This Row],[Price]]*Orders[[#This Row],[Quantity]]</f>
        <v>1498.47</v>
      </c>
    </row>
    <row r="169" spans="1:9" x14ac:dyDescent="0.25">
      <c r="A169" s="6">
        <v>168</v>
      </c>
      <c r="B169" s="11">
        <v>44938</v>
      </c>
      <c r="C169" s="2" t="s">
        <v>8</v>
      </c>
      <c r="D169" s="2">
        <v>3.99</v>
      </c>
      <c r="E169" s="2">
        <v>167</v>
      </c>
      <c r="F169" s="2" t="s">
        <v>7</v>
      </c>
      <c r="G169" s="2" t="s">
        <v>25</v>
      </c>
      <c r="H169" s="5" t="s">
        <v>23</v>
      </c>
      <c r="I169" s="2">
        <f>Orders[[#This Row],[Price]]*Orders[[#This Row],[Quantity]]</f>
        <v>666.33</v>
      </c>
    </row>
    <row r="170" spans="1:9" x14ac:dyDescent="0.25">
      <c r="A170" s="6">
        <v>169</v>
      </c>
      <c r="B170" s="11">
        <v>44938</v>
      </c>
      <c r="C170" s="3" t="s">
        <v>0</v>
      </c>
      <c r="D170" s="2">
        <v>14.99</v>
      </c>
      <c r="E170" s="2">
        <v>598</v>
      </c>
      <c r="F170" s="3" t="s">
        <v>2</v>
      </c>
      <c r="G170" s="2" t="s">
        <v>22</v>
      </c>
      <c r="H170" s="5" t="s">
        <v>29</v>
      </c>
      <c r="I170" s="2">
        <f>Orders[[#This Row],[Price]]*Orders[[#This Row],[Quantity]]</f>
        <v>8964.02</v>
      </c>
    </row>
    <row r="171" spans="1:9" x14ac:dyDescent="0.25">
      <c r="A171" s="6">
        <v>170</v>
      </c>
      <c r="B171" s="11">
        <v>44938</v>
      </c>
      <c r="C171" s="3" t="s">
        <v>0</v>
      </c>
      <c r="D171" s="2">
        <v>1.99</v>
      </c>
      <c r="E171" s="2">
        <v>340</v>
      </c>
      <c r="F171" s="2" t="s">
        <v>7</v>
      </c>
      <c r="G171" s="2" t="s">
        <v>18</v>
      </c>
      <c r="H171" s="5" t="s">
        <v>21</v>
      </c>
      <c r="I171" s="2">
        <f>Orders[[#This Row],[Price]]*Orders[[#This Row],[Quantity]]</f>
        <v>676.6</v>
      </c>
    </row>
    <row r="172" spans="1:9" x14ac:dyDescent="0.25">
      <c r="A172" s="6">
        <v>171</v>
      </c>
      <c r="B172" s="11">
        <v>44938</v>
      </c>
      <c r="C172" s="2" t="s">
        <v>8</v>
      </c>
      <c r="D172" s="2">
        <v>1.99</v>
      </c>
      <c r="E172" s="2">
        <v>695</v>
      </c>
      <c r="F172" s="2" t="s">
        <v>4</v>
      </c>
      <c r="G172" s="2" t="s">
        <v>35</v>
      </c>
      <c r="H172" s="5" t="s">
        <v>33</v>
      </c>
      <c r="I172" s="2">
        <f>Orders[[#This Row],[Price]]*Orders[[#This Row],[Quantity]]</f>
        <v>1383.05</v>
      </c>
    </row>
    <row r="173" spans="1:9" x14ac:dyDescent="0.25">
      <c r="A173" s="6">
        <v>172</v>
      </c>
      <c r="B173" s="11">
        <v>44938</v>
      </c>
      <c r="C173" s="2" t="s">
        <v>6</v>
      </c>
      <c r="D173" s="2">
        <v>14.99</v>
      </c>
      <c r="E173" s="2">
        <v>715</v>
      </c>
      <c r="F173" s="2" t="s">
        <v>7</v>
      </c>
      <c r="G173" s="2" t="s">
        <v>38</v>
      </c>
      <c r="H173" s="5" t="s">
        <v>19</v>
      </c>
      <c r="I173" s="2">
        <f>Orders[[#This Row],[Price]]*Orders[[#This Row],[Quantity]]</f>
        <v>10717.85</v>
      </c>
    </row>
    <row r="174" spans="1:9" x14ac:dyDescent="0.25">
      <c r="A174" s="6">
        <v>173</v>
      </c>
      <c r="B174" s="11">
        <v>44938</v>
      </c>
      <c r="C174" s="2" t="s">
        <v>3</v>
      </c>
      <c r="D174" s="2">
        <v>12.99</v>
      </c>
      <c r="E174" s="2">
        <v>215</v>
      </c>
      <c r="F174" s="2" t="s">
        <v>7</v>
      </c>
      <c r="G174" s="2" t="s">
        <v>20</v>
      </c>
      <c r="H174" s="5" t="s">
        <v>34</v>
      </c>
      <c r="I174" s="2">
        <f>Orders[[#This Row],[Price]]*Orders[[#This Row],[Quantity]]</f>
        <v>2792.85</v>
      </c>
    </row>
    <row r="175" spans="1:9" x14ac:dyDescent="0.25">
      <c r="A175" s="6">
        <v>174</v>
      </c>
      <c r="B175" s="11">
        <v>44938</v>
      </c>
      <c r="C175" s="3" t="s">
        <v>0</v>
      </c>
      <c r="D175" s="2">
        <v>3.99</v>
      </c>
      <c r="E175" s="2">
        <v>665</v>
      </c>
      <c r="F175" s="3" t="s">
        <v>1</v>
      </c>
      <c r="G175" s="2" t="s">
        <v>31</v>
      </c>
      <c r="H175" s="5" t="s">
        <v>34</v>
      </c>
      <c r="I175" s="2">
        <f>Orders[[#This Row],[Price]]*Orders[[#This Row],[Quantity]]</f>
        <v>2653.3500000000004</v>
      </c>
    </row>
    <row r="176" spans="1:9" x14ac:dyDescent="0.25">
      <c r="A176" s="6">
        <v>175</v>
      </c>
      <c r="B176" s="11">
        <v>44938</v>
      </c>
      <c r="C176" s="2" t="s">
        <v>6</v>
      </c>
      <c r="D176" s="2">
        <v>1.99</v>
      </c>
      <c r="E176" s="2">
        <v>880</v>
      </c>
      <c r="F176" s="3" t="s">
        <v>2</v>
      </c>
      <c r="G176" s="2" t="s">
        <v>24</v>
      </c>
      <c r="H176" s="5" t="s">
        <v>34</v>
      </c>
      <c r="I176" s="2">
        <f>Orders[[#This Row],[Price]]*Orders[[#This Row],[Quantity]]</f>
        <v>1751.2</v>
      </c>
    </row>
    <row r="177" spans="1:9" x14ac:dyDescent="0.25">
      <c r="A177" s="6">
        <v>176</v>
      </c>
      <c r="B177" s="11">
        <v>44938</v>
      </c>
      <c r="C177" s="3" t="s">
        <v>0</v>
      </c>
      <c r="D177" s="2">
        <v>12.99</v>
      </c>
      <c r="E177" s="2">
        <v>445</v>
      </c>
      <c r="F177" s="3" t="s">
        <v>1</v>
      </c>
      <c r="G177" s="2" t="s">
        <v>20</v>
      </c>
      <c r="H177" s="5" t="s">
        <v>21</v>
      </c>
      <c r="I177" s="2">
        <f>Orders[[#This Row],[Price]]*Orders[[#This Row],[Quantity]]</f>
        <v>5780.55</v>
      </c>
    </row>
    <row r="178" spans="1:9" x14ac:dyDescent="0.25">
      <c r="A178" s="6">
        <v>177</v>
      </c>
      <c r="B178" s="11">
        <v>44938</v>
      </c>
      <c r="C178" s="2" t="s">
        <v>6</v>
      </c>
      <c r="D178" s="2">
        <v>1.99</v>
      </c>
      <c r="E178" s="2">
        <v>742</v>
      </c>
      <c r="F178" s="2" t="s">
        <v>4</v>
      </c>
      <c r="G178" s="2" t="s">
        <v>20</v>
      </c>
      <c r="H178" s="5" t="s">
        <v>21</v>
      </c>
      <c r="I178" s="2">
        <f>Orders[[#This Row],[Price]]*Orders[[#This Row],[Quantity]]</f>
        <v>1476.58</v>
      </c>
    </row>
    <row r="179" spans="1:9" x14ac:dyDescent="0.25">
      <c r="A179" s="6">
        <v>178</v>
      </c>
      <c r="B179" s="11">
        <v>44939</v>
      </c>
      <c r="C179" s="3" t="s">
        <v>0</v>
      </c>
      <c r="D179" s="2">
        <v>12.99</v>
      </c>
      <c r="E179" s="2">
        <v>209</v>
      </c>
      <c r="F179" s="3" t="s">
        <v>2</v>
      </c>
      <c r="G179" s="2" t="s">
        <v>27</v>
      </c>
      <c r="H179" s="5" t="s">
        <v>32</v>
      </c>
      <c r="I179" s="2">
        <f>Orders[[#This Row],[Price]]*Orders[[#This Row],[Quantity]]</f>
        <v>2714.91</v>
      </c>
    </row>
    <row r="180" spans="1:9" x14ac:dyDescent="0.25">
      <c r="A180" s="6">
        <v>179</v>
      </c>
      <c r="B180" s="11">
        <v>44939</v>
      </c>
      <c r="C180" s="2" t="s">
        <v>3</v>
      </c>
      <c r="D180" s="2">
        <v>1.99</v>
      </c>
      <c r="E180" s="2">
        <v>847</v>
      </c>
      <c r="F180" s="3" t="s">
        <v>2</v>
      </c>
      <c r="G180" s="2" t="s">
        <v>18</v>
      </c>
      <c r="H180" s="5" t="s">
        <v>32</v>
      </c>
      <c r="I180" s="2">
        <f>Orders[[#This Row],[Price]]*Orders[[#This Row],[Quantity]]</f>
        <v>1685.53</v>
      </c>
    </row>
    <row r="181" spans="1:9" x14ac:dyDescent="0.25">
      <c r="A181" s="6">
        <v>180</v>
      </c>
      <c r="B181" s="11">
        <v>44939</v>
      </c>
      <c r="C181" s="2" t="s">
        <v>3</v>
      </c>
      <c r="D181" s="2">
        <v>3.99</v>
      </c>
      <c r="E181" s="2">
        <v>241</v>
      </c>
      <c r="F181" s="3" t="s">
        <v>1</v>
      </c>
      <c r="G181" s="2" t="s">
        <v>27</v>
      </c>
      <c r="H181" s="5" t="s">
        <v>19</v>
      </c>
      <c r="I181" s="2">
        <f>Orders[[#This Row],[Price]]*Orders[[#This Row],[Quantity]]</f>
        <v>961.59</v>
      </c>
    </row>
    <row r="182" spans="1:9" x14ac:dyDescent="0.25">
      <c r="A182" s="6">
        <v>181</v>
      </c>
      <c r="B182" s="11">
        <v>44939</v>
      </c>
      <c r="C182" s="3" t="s">
        <v>0</v>
      </c>
      <c r="D182" s="2">
        <v>3.99</v>
      </c>
      <c r="E182" s="2">
        <v>385</v>
      </c>
      <c r="F182" s="2" t="s">
        <v>4</v>
      </c>
      <c r="G182" s="2" t="s">
        <v>18</v>
      </c>
      <c r="H182" s="5" t="s">
        <v>32</v>
      </c>
      <c r="I182" s="2">
        <f>Orders[[#This Row],[Price]]*Orders[[#This Row],[Quantity]]</f>
        <v>1536.15</v>
      </c>
    </row>
    <row r="183" spans="1:9" x14ac:dyDescent="0.25">
      <c r="A183" s="6">
        <v>182</v>
      </c>
      <c r="B183" s="11">
        <v>44939</v>
      </c>
      <c r="C183" s="2" t="s">
        <v>8</v>
      </c>
      <c r="D183" s="2">
        <v>1.99</v>
      </c>
      <c r="E183" s="2">
        <v>755</v>
      </c>
      <c r="F183" s="2" t="s">
        <v>4</v>
      </c>
      <c r="G183" s="2" t="s">
        <v>30</v>
      </c>
      <c r="H183" s="5" t="s">
        <v>23</v>
      </c>
      <c r="I183" s="2">
        <f>Orders[[#This Row],[Price]]*Orders[[#This Row],[Quantity]]</f>
        <v>1502.45</v>
      </c>
    </row>
    <row r="184" spans="1:9" x14ac:dyDescent="0.25">
      <c r="A184" s="6">
        <v>183</v>
      </c>
      <c r="B184" s="11">
        <v>44939</v>
      </c>
      <c r="C184" s="3" t="s">
        <v>0</v>
      </c>
      <c r="D184" s="2">
        <v>14.99</v>
      </c>
      <c r="E184" s="2">
        <v>571</v>
      </c>
      <c r="F184" s="3" t="s">
        <v>1</v>
      </c>
      <c r="G184" s="2" t="s">
        <v>37</v>
      </c>
      <c r="H184" s="5" t="s">
        <v>29</v>
      </c>
      <c r="I184" s="2">
        <f>Orders[[#This Row],[Price]]*Orders[[#This Row],[Quantity]]</f>
        <v>8559.2900000000009</v>
      </c>
    </row>
    <row r="185" spans="1:9" x14ac:dyDescent="0.25">
      <c r="A185" s="6">
        <v>184</v>
      </c>
      <c r="B185" s="11">
        <v>44939</v>
      </c>
      <c r="C185" s="2" t="s">
        <v>6</v>
      </c>
      <c r="D185" s="2">
        <v>1.99</v>
      </c>
      <c r="E185" s="2">
        <v>641</v>
      </c>
      <c r="F185" s="2" t="s">
        <v>4</v>
      </c>
      <c r="G185" s="2" t="s">
        <v>27</v>
      </c>
      <c r="H185" s="5" t="s">
        <v>33</v>
      </c>
      <c r="I185" s="2">
        <f>Orders[[#This Row],[Price]]*Orders[[#This Row],[Quantity]]</f>
        <v>1275.5899999999999</v>
      </c>
    </row>
    <row r="186" spans="1:9" x14ac:dyDescent="0.25">
      <c r="A186" s="6">
        <v>185</v>
      </c>
      <c r="B186" s="11">
        <v>44939</v>
      </c>
      <c r="C186" s="3" t="s">
        <v>5</v>
      </c>
      <c r="D186" s="2">
        <v>12.99</v>
      </c>
      <c r="E186" s="2">
        <v>278</v>
      </c>
      <c r="F186" s="2" t="s">
        <v>4</v>
      </c>
      <c r="G186" s="2" t="s">
        <v>31</v>
      </c>
      <c r="H186" s="5" t="s">
        <v>34</v>
      </c>
      <c r="I186" s="2">
        <f>Orders[[#This Row],[Price]]*Orders[[#This Row],[Quantity]]</f>
        <v>3611.2200000000003</v>
      </c>
    </row>
    <row r="187" spans="1:9" x14ac:dyDescent="0.25">
      <c r="A187" s="6">
        <v>186</v>
      </c>
      <c r="B187" s="11">
        <v>44939</v>
      </c>
      <c r="C187" s="2" t="s">
        <v>3</v>
      </c>
      <c r="D187" s="2">
        <v>6.99</v>
      </c>
      <c r="E187" s="2">
        <v>214</v>
      </c>
      <c r="F187" s="3" t="s">
        <v>2</v>
      </c>
      <c r="G187" s="2" t="s">
        <v>24</v>
      </c>
      <c r="H187" s="5" t="s">
        <v>32</v>
      </c>
      <c r="I187" s="2">
        <f>Orders[[#This Row],[Price]]*Orders[[#This Row],[Quantity]]</f>
        <v>1495.8600000000001</v>
      </c>
    </row>
    <row r="188" spans="1:9" x14ac:dyDescent="0.25">
      <c r="A188" s="6">
        <v>187</v>
      </c>
      <c r="B188" s="11">
        <v>44939</v>
      </c>
      <c r="C188" s="2" t="s">
        <v>6</v>
      </c>
      <c r="D188" s="2">
        <v>3.99</v>
      </c>
      <c r="E188" s="2">
        <v>323</v>
      </c>
      <c r="F188" s="2" t="s">
        <v>7</v>
      </c>
      <c r="G188" s="2" t="s">
        <v>49</v>
      </c>
      <c r="H188" s="5" t="s">
        <v>29</v>
      </c>
      <c r="I188" s="2">
        <f>Orders[[#This Row],[Price]]*Orders[[#This Row],[Quantity]]</f>
        <v>1288.77</v>
      </c>
    </row>
    <row r="189" spans="1:9" x14ac:dyDescent="0.25">
      <c r="A189" s="6">
        <v>188</v>
      </c>
      <c r="B189" s="11">
        <v>44939</v>
      </c>
      <c r="C189" s="2" t="s">
        <v>3</v>
      </c>
      <c r="D189" s="2">
        <v>12.99</v>
      </c>
      <c r="E189" s="2">
        <v>258</v>
      </c>
      <c r="F189" s="2" t="s">
        <v>4</v>
      </c>
      <c r="G189" s="2" t="s">
        <v>37</v>
      </c>
      <c r="H189" s="5" t="s">
        <v>21</v>
      </c>
      <c r="I189" s="2">
        <f>Orders[[#This Row],[Price]]*Orders[[#This Row],[Quantity]]</f>
        <v>3351.42</v>
      </c>
    </row>
    <row r="190" spans="1:9" x14ac:dyDescent="0.25">
      <c r="A190" s="6">
        <v>189</v>
      </c>
      <c r="B190" s="11">
        <v>44939</v>
      </c>
      <c r="C190" s="2" t="s">
        <v>3</v>
      </c>
      <c r="D190" s="2">
        <v>3.99</v>
      </c>
      <c r="E190" s="2">
        <v>738</v>
      </c>
      <c r="F190" s="2" t="s">
        <v>4</v>
      </c>
      <c r="G190" s="2" t="s">
        <v>28</v>
      </c>
      <c r="H190" s="5" t="s">
        <v>21</v>
      </c>
      <c r="I190" s="2">
        <f>Orders[[#This Row],[Price]]*Orders[[#This Row],[Quantity]]</f>
        <v>2944.6200000000003</v>
      </c>
    </row>
    <row r="191" spans="1:9" x14ac:dyDescent="0.25">
      <c r="A191" s="6">
        <v>190</v>
      </c>
      <c r="B191" s="11">
        <v>44939</v>
      </c>
      <c r="C191" s="2" t="s">
        <v>6</v>
      </c>
      <c r="D191" s="2">
        <v>3.99</v>
      </c>
      <c r="E191" s="2">
        <v>434</v>
      </c>
      <c r="F191" s="2" t="s">
        <v>4</v>
      </c>
      <c r="G191" s="2" t="s">
        <v>24</v>
      </c>
      <c r="H191" s="5" t="s">
        <v>21</v>
      </c>
      <c r="I191" s="2">
        <f>Orders[[#This Row],[Price]]*Orders[[#This Row],[Quantity]]</f>
        <v>1731.66</v>
      </c>
    </row>
    <row r="192" spans="1:9" x14ac:dyDescent="0.25">
      <c r="A192" s="6">
        <v>191</v>
      </c>
      <c r="B192" s="11">
        <v>44939</v>
      </c>
      <c r="C192" s="2" t="s">
        <v>6</v>
      </c>
      <c r="D192" s="2">
        <v>12.99</v>
      </c>
      <c r="E192" s="2">
        <v>461</v>
      </c>
      <c r="F192" s="3" t="s">
        <v>2</v>
      </c>
      <c r="G192" s="2" t="s">
        <v>35</v>
      </c>
      <c r="H192" s="5" t="s">
        <v>19</v>
      </c>
      <c r="I192" s="2">
        <f>Orders[[#This Row],[Price]]*Orders[[#This Row],[Quantity]]</f>
        <v>5988.39</v>
      </c>
    </row>
    <row r="193" spans="1:9" x14ac:dyDescent="0.25">
      <c r="A193" s="6">
        <v>192</v>
      </c>
      <c r="B193" s="11">
        <v>44939</v>
      </c>
      <c r="C193" s="3" t="s">
        <v>5</v>
      </c>
      <c r="D193" s="2">
        <v>12.99</v>
      </c>
      <c r="E193" s="2">
        <v>501</v>
      </c>
      <c r="F193" s="2" t="s">
        <v>7</v>
      </c>
      <c r="G193" s="2" t="s">
        <v>27</v>
      </c>
      <c r="H193" s="5" t="s">
        <v>9</v>
      </c>
      <c r="I193" s="2">
        <f>Orders[[#This Row],[Price]]*Orders[[#This Row],[Quantity]]</f>
        <v>6507.99</v>
      </c>
    </row>
    <row r="194" spans="1:9" x14ac:dyDescent="0.25">
      <c r="A194" s="6">
        <v>193</v>
      </c>
      <c r="B194" s="11">
        <v>44940</v>
      </c>
      <c r="C194" s="2" t="s">
        <v>6</v>
      </c>
      <c r="D194" s="2">
        <v>6.99</v>
      </c>
      <c r="E194" s="2">
        <v>507</v>
      </c>
      <c r="F194" s="3" t="s">
        <v>1</v>
      </c>
      <c r="G194" s="2" t="s">
        <v>24</v>
      </c>
      <c r="H194" s="5" t="s">
        <v>23</v>
      </c>
      <c r="I194" s="2">
        <f>Orders[[#This Row],[Price]]*Orders[[#This Row],[Quantity]]</f>
        <v>3543.9300000000003</v>
      </c>
    </row>
    <row r="195" spans="1:9" x14ac:dyDescent="0.25">
      <c r="A195" s="6">
        <v>194</v>
      </c>
      <c r="B195" s="11">
        <v>44940</v>
      </c>
      <c r="C195" s="2" t="s">
        <v>3</v>
      </c>
      <c r="D195" s="2">
        <v>12.99</v>
      </c>
      <c r="E195" s="2">
        <v>544</v>
      </c>
      <c r="F195" s="3" t="s">
        <v>1</v>
      </c>
      <c r="G195" s="2" t="s">
        <v>40</v>
      </c>
      <c r="H195" s="5" t="s">
        <v>19</v>
      </c>
      <c r="I195" s="2">
        <f>Orders[[#This Row],[Price]]*Orders[[#This Row],[Quantity]]</f>
        <v>7066.56</v>
      </c>
    </row>
    <row r="196" spans="1:9" x14ac:dyDescent="0.25">
      <c r="A196" s="6">
        <v>195</v>
      </c>
      <c r="B196" s="11">
        <v>44940</v>
      </c>
      <c r="C196" s="2" t="s">
        <v>3</v>
      </c>
      <c r="D196" s="2">
        <v>3.99</v>
      </c>
      <c r="E196" s="2">
        <v>673</v>
      </c>
      <c r="F196" s="3" t="s">
        <v>1</v>
      </c>
      <c r="G196" s="2" t="s">
        <v>35</v>
      </c>
      <c r="H196" s="5" t="s">
        <v>32</v>
      </c>
      <c r="I196" s="2">
        <f>Orders[[#This Row],[Price]]*Orders[[#This Row],[Quantity]]</f>
        <v>2685.27</v>
      </c>
    </row>
    <row r="197" spans="1:9" x14ac:dyDescent="0.25">
      <c r="A197" s="6">
        <v>196</v>
      </c>
      <c r="B197" s="11">
        <v>44940</v>
      </c>
      <c r="C197" s="3" t="s">
        <v>5</v>
      </c>
      <c r="D197" s="2">
        <v>3.99</v>
      </c>
      <c r="E197" s="2">
        <v>355</v>
      </c>
      <c r="F197" s="3" t="s">
        <v>1</v>
      </c>
      <c r="G197" s="2" t="s">
        <v>28</v>
      </c>
      <c r="H197" s="5" t="s">
        <v>29</v>
      </c>
      <c r="I197" s="2">
        <f>Orders[[#This Row],[Price]]*Orders[[#This Row],[Quantity]]</f>
        <v>1416.45</v>
      </c>
    </row>
    <row r="198" spans="1:9" x14ac:dyDescent="0.25">
      <c r="A198" s="6">
        <v>197</v>
      </c>
      <c r="B198" s="11">
        <v>44940</v>
      </c>
      <c r="C198" s="3" t="s">
        <v>0</v>
      </c>
      <c r="D198" s="2">
        <v>6.99</v>
      </c>
      <c r="E198" s="2">
        <v>348</v>
      </c>
      <c r="F198" s="3" t="s">
        <v>2</v>
      </c>
      <c r="G198" s="2" t="s">
        <v>18</v>
      </c>
      <c r="H198" s="5" t="s">
        <v>21</v>
      </c>
      <c r="I198" s="2">
        <f>Orders[[#This Row],[Price]]*Orders[[#This Row],[Quantity]]</f>
        <v>2432.52</v>
      </c>
    </row>
    <row r="199" spans="1:9" x14ac:dyDescent="0.25">
      <c r="A199" s="6">
        <v>198</v>
      </c>
      <c r="B199" s="11">
        <v>44940</v>
      </c>
      <c r="C199" s="3" t="s">
        <v>0</v>
      </c>
      <c r="D199" s="2">
        <v>1.99</v>
      </c>
      <c r="E199" s="2">
        <v>873</v>
      </c>
      <c r="F199" s="3" t="s">
        <v>1</v>
      </c>
      <c r="G199" s="2" t="s">
        <v>30</v>
      </c>
      <c r="H199" s="5" t="s">
        <v>34</v>
      </c>
      <c r="I199" s="2">
        <f>Orders[[#This Row],[Price]]*Orders[[#This Row],[Quantity]]</f>
        <v>1737.27</v>
      </c>
    </row>
    <row r="200" spans="1:9" x14ac:dyDescent="0.25">
      <c r="A200" s="6">
        <v>199</v>
      </c>
      <c r="B200" s="11">
        <v>44940</v>
      </c>
      <c r="C200" s="2" t="s">
        <v>6</v>
      </c>
      <c r="D200" s="2">
        <v>1.99</v>
      </c>
      <c r="E200" s="2">
        <v>889</v>
      </c>
      <c r="F200" s="3" t="s">
        <v>1</v>
      </c>
      <c r="G200" s="2" t="s">
        <v>37</v>
      </c>
      <c r="H200" s="5" t="s">
        <v>23</v>
      </c>
      <c r="I200" s="2">
        <f>Orders[[#This Row],[Price]]*Orders[[#This Row],[Quantity]]</f>
        <v>1769.11</v>
      </c>
    </row>
    <row r="201" spans="1:9" x14ac:dyDescent="0.25">
      <c r="A201" s="6">
        <v>200</v>
      </c>
      <c r="B201" s="11">
        <v>44940</v>
      </c>
      <c r="C201" s="3" t="s">
        <v>5</v>
      </c>
      <c r="D201" s="2">
        <v>12.99</v>
      </c>
      <c r="E201" s="2">
        <v>675</v>
      </c>
      <c r="F201" s="3" t="s">
        <v>2</v>
      </c>
      <c r="G201" s="2" t="s">
        <v>31</v>
      </c>
      <c r="H201" s="5" t="s">
        <v>23</v>
      </c>
      <c r="I201" s="2">
        <f>Orders[[#This Row],[Price]]*Orders[[#This Row],[Quantity]]</f>
        <v>8768.25</v>
      </c>
    </row>
    <row r="202" spans="1:9" x14ac:dyDescent="0.25">
      <c r="A202" s="6">
        <v>201</v>
      </c>
      <c r="B202" s="11">
        <v>44940</v>
      </c>
      <c r="C202" s="2" t="s">
        <v>6</v>
      </c>
      <c r="D202" s="2">
        <v>6.99</v>
      </c>
      <c r="E202" s="2">
        <v>601</v>
      </c>
      <c r="F202" s="2" t="s">
        <v>4</v>
      </c>
      <c r="G202" s="2" t="s">
        <v>20</v>
      </c>
      <c r="H202" s="5" t="s">
        <v>19</v>
      </c>
      <c r="I202" s="2">
        <f>Orders[[#This Row],[Price]]*Orders[[#This Row],[Quantity]]</f>
        <v>4200.99</v>
      </c>
    </row>
    <row r="203" spans="1:9" x14ac:dyDescent="0.25">
      <c r="A203" s="6">
        <v>202</v>
      </c>
      <c r="B203" s="11">
        <v>44940</v>
      </c>
      <c r="C203" s="2" t="s">
        <v>8</v>
      </c>
      <c r="D203" s="2">
        <v>12.99</v>
      </c>
      <c r="E203" s="2">
        <v>581</v>
      </c>
      <c r="F203" s="3" t="s">
        <v>2</v>
      </c>
      <c r="G203" s="2" t="s">
        <v>20</v>
      </c>
      <c r="H203" s="5" t="s">
        <v>19</v>
      </c>
      <c r="I203" s="2">
        <f>Orders[[#This Row],[Price]]*Orders[[#This Row],[Quantity]]</f>
        <v>7547.1900000000005</v>
      </c>
    </row>
    <row r="204" spans="1:9" x14ac:dyDescent="0.25">
      <c r="A204" s="6">
        <v>203</v>
      </c>
      <c r="B204" s="11">
        <v>44940</v>
      </c>
      <c r="C204" s="2" t="s">
        <v>6</v>
      </c>
      <c r="D204" s="2">
        <v>14.99</v>
      </c>
      <c r="E204" s="2">
        <v>348</v>
      </c>
      <c r="F204" s="3" t="s">
        <v>1</v>
      </c>
      <c r="G204" s="2" t="s">
        <v>27</v>
      </c>
      <c r="H204" s="5" t="s">
        <v>34</v>
      </c>
      <c r="I204" s="2">
        <f>Orders[[#This Row],[Price]]*Orders[[#This Row],[Quantity]]</f>
        <v>5216.5200000000004</v>
      </c>
    </row>
    <row r="205" spans="1:9" x14ac:dyDescent="0.25">
      <c r="A205" s="6">
        <v>204</v>
      </c>
      <c r="B205" s="11">
        <v>44940</v>
      </c>
      <c r="C205" s="2" t="s">
        <v>3</v>
      </c>
      <c r="D205" s="2">
        <v>12.99</v>
      </c>
      <c r="E205" s="2">
        <v>863</v>
      </c>
      <c r="F205" s="2" t="s">
        <v>7</v>
      </c>
      <c r="G205" s="2" t="s">
        <v>27</v>
      </c>
      <c r="H205" s="5" t="s">
        <v>23</v>
      </c>
      <c r="I205" s="2">
        <f>Orders[[#This Row],[Price]]*Orders[[#This Row],[Quantity]]</f>
        <v>11210.37</v>
      </c>
    </row>
    <row r="206" spans="1:9" x14ac:dyDescent="0.25">
      <c r="A206" s="6">
        <v>205</v>
      </c>
      <c r="B206" s="11">
        <v>44940</v>
      </c>
      <c r="C206" s="2" t="s">
        <v>6</v>
      </c>
      <c r="D206" s="2">
        <v>3.99</v>
      </c>
      <c r="E206" s="2">
        <v>879</v>
      </c>
      <c r="F206" s="3" t="s">
        <v>2</v>
      </c>
      <c r="G206" s="2" t="s">
        <v>40</v>
      </c>
      <c r="H206" s="5" t="s">
        <v>23</v>
      </c>
      <c r="I206" s="2">
        <f>Orders[[#This Row],[Price]]*Orders[[#This Row],[Quantity]]</f>
        <v>3507.21</v>
      </c>
    </row>
    <row r="207" spans="1:9" x14ac:dyDescent="0.25">
      <c r="A207" s="6">
        <v>206</v>
      </c>
      <c r="B207" s="11">
        <v>44940</v>
      </c>
      <c r="C207" s="2" t="s">
        <v>6</v>
      </c>
      <c r="D207" s="2">
        <v>12.99</v>
      </c>
      <c r="E207" s="2">
        <v>789</v>
      </c>
      <c r="F207" s="2" t="s">
        <v>4</v>
      </c>
      <c r="G207" s="2" t="s">
        <v>24</v>
      </c>
      <c r="H207" s="5" t="s">
        <v>32</v>
      </c>
      <c r="I207" s="2">
        <f>Orders[[#This Row],[Price]]*Orders[[#This Row],[Quantity]]</f>
        <v>10249.11</v>
      </c>
    </row>
    <row r="208" spans="1:9" x14ac:dyDescent="0.25">
      <c r="A208" s="6">
        <v>207</v>
      </c>
      <c r="B208" s="11">
        <v>44940</v>
      </c>
      <c r="C208" s="3" t="s">
        <v>0</v>
      </c>
      <c r="D208" s="2">
        <v>12.99</v>
      </c>
      <c r="E208" s="2">
        <v>635</v>
      </c>
      <c r="F208" s="3" t="s">
        <v>2</v>
      </c>
      <c r="G208" s="2" t="s">
        <v>31</v>
      </c>
      <c r="H208" s="5" t="s">
        <v>34</v>
      </c>
      <c r="I208" s="2">
        <f>Orders[[#This Row],[Price]]*Orders[[#This Row],[Quantity]]</f>
        <v>8248.65</v>
      </c>
    </row>
    <row r="209" spans="1:9" x14ac:dyDescent="0.25">
      <c r="A209" s="6">
        <v>208</v>
      </c>
      <c r="B209" s="11">
        <v>44941</v>
      </c>
      <c r="C209" s="2" t="s">
        <v>8</v>
      </c>
      <c r="D209" s="2">
        <v>1.99</v>
      </c>
      <c r="E209" s="2">
        <v>244</v>
      </c>
      <c r="F209" s="3" t="s">
        <v>2</v>
      </c>
      <c r="G209" s="2" t="s">
        <v>22</v>
      </c>
      <c r="H209" s="5" t="s">
        <v>21</v>
      </c>
      <c r="I209" s="2">
        <f>Orders[[#This Row],[Price]]*Orders[[#This Row],[Quantity]]</f>
        <v>485.56</v>
      </c>
    </row>
    <row r="210" spans="1:9" x14ac:dyDescent="0.25">
      <c r="A210" s="6">
        <v>209</v>
      </c>
      <c r="B210" s="11">
        <v>44941</v>
      </c>
      <c r="C210" s="2" t="s">
        <v>6</v>
      </c>
      <c r="D210" s="2">
        <v>14.99</v>
      </c>
      <c r="E210" s="2">
        <v>267</v>
      </c>
      <c r="F210" s="3" t="s">
        <v>1</v>
      </c>
      <c r="G210" s="2" t="s">
        <v>18</v>
      </c>
      <c r="H210" s="5" t="s">
        <v>23</v>
      </c>
      <c r="I210" s="2">
        <f>Orders[[#This Row],[Price]]*Orders[[#This Row],[Quantity]]</f>
        <v>4002.33</v>
      </c>
    </row>
    <row r="211" spans="1:9" x14ac:dyDescent="0.25">
      <c r="A211" s="6">
        <v>210</v>
      </c>
      <c r="B211" s="11">
        <v>44941</v>
      </c>
      <c r="C211" s="2" t="s">
        <v>3</v>
      </c>
      <c r="D211" s="2">
        <v>12.99</v>
      </c>
      <c r="E211" s="2">
        <v>265</v>
      </c>
      <c r="F211" s="3" t="s">
        <v>2</v>
      </c>
      <c r="G211" s="2" t="s">
        <v>31</v>
      </c>
      <c r="H211" s="5" t="s">
        <v>29</v>
      </c>
      <c r="I211" s="2">
        <f>Orders[[#This Row],[Price]]*Orders[[#This Row],[Quantity]]</f>
        <v>3442.35</v>
      </c>
    </row>
    <row r="212" spans="1:9" x14ac:dyDescent="0.25">
      <c r="A212" s="6">
        <v>211</v>
      </c>
      <c r="B212" s="11">
        <v>44941</v>
      </c>
      <c r="C212" s="2" t="s">
        <v>3</v>
      </c>
      <c r="D212" s="2">
        <v>3.99</v>
      </c>
      <c r="E212" s="2">
        <v>664</v>
      </c>
      <c r="F212" s="2" t="s">
        <v>7</v>
      </c>
      <c r="G212" s="2" t="s">
        <v>22</v>
      </c>
      <c r="H212" s="5" t="s">
        <v>23</v>
      </c>
      <c r="I212" s="2">
        <f>Orders[[#This Row],[Price]]*Orders[[#This Row],[Quantity]]</f>
        <v>2649.36</v>
      </c>
    </row>
    <row r="213" spans="1:9" x14ac:dyDescent="0.25">
      <c r="A213" s="6">
        <v>212</v>
      </c>
      <c r="B213" s="11">
        <v>44941</v>
      </c>
      <c r="C213" s="3" t="s">
        <v>5</v>
      </c>
      <c r="D213" s="2">
        <v>3.99</v>
      </c>
      <c r="E213" s="2">
        <v>445</v>
      </c>
      <c r="F213" s="3" t="s">
        <v>2</v>
      </c>
      <c r="G213" s="2" t="s">
        <v>30</v>
      </c>
      <c r="H213" s="5" t="s">
        <v>34</v>
      </c>
      <c r="I213" s="2">
        <f>Orders[[#This Row],[Price]]*Orders[[#This Row],[Quantity]]</f>
        <v>1775.5500000000002</v>
      </c>
    </row>
    <row r="214" spans="1:9" x14ac:dyDescent="0.25">
      <c r="A214" s="6">
        <v>213</v>
      </c>
      <c r="B214" s="11">
        <v>44941</v>
      </c>
      <c r="C214" s="3" t="s">
        <v>5</v>
      </c>
      <c r="D214" s="2">
        <v>6.99</v>
      </c>
      <c r="E214" s="2">
        <v>853</v>
      </c>
      <c r="F214" s="3" t="s">
        <v>2</v>
      </c>
      <c r="G214" s="2" t="s">
        <v>22</v>
      </c>
      <c r="H214" s="5" t="s">
        <v>21</v>
      </c>
      <c r="I214" s="2">
        <f>Orders[[#This Row],[Price]]*Orders[[#This Row],[Quantity]]</f>
        <v>5962.47</v>
      </c>
    </row>
    <row r="215" spans="1:9" x14ac:dyDescent="0.25">
      <c r="A215" s="6">
        <v>214</v>
      </c>
      <c r="B215" s="11">
        <v>44941</v>
      </c>
      <c r="C215" s="3" t="s">
        <v>5</v>
      </c>
      <c r="D215" s="2">
        <v>6.99</v>
      </c>
      <c r="E215" s="2">
        <v>345</v>
      </c>
      <c r="F215" s="2" t="s">
        <v>7</v>
      </c>
      <c r="G215" s="2" t="s">
        <v>20</v>
      </c>
      <c r="H215" s="5" t="s">
        <v>19</v>
      </c>
      <c r="I215" s="2">
        <f>Orders[[#This Row],[Price]]*Orders[[#This Row],[Quantity]]</f>
        <v>2411.5500000000002</v>
      </c>
    </row>
    <row r="216" spans="1:9" x14ac:dyDescent="0.25">
      <c r="A216" s="6">
        <v>215</v>
      </c>
      <c r="B216" s="11">
        <v>44941</v>
      </c>
      <c r="C216" s="3" t="s">
        <v>0</v>
      </c>
      <c r="D216" s="2">
        <v>6.99</v>
      </c>
      <c r="E216" s="2">
        <v>807</v>
      </c>
      <c r="F216" s="3" t="s">
        <v>2</v>
      </c>
      <c r="G216" s="2" t="s">
        <v>30</v>
      </c>
      <c r="H216" s="5" t="s">
        <v>19</v>
      </c>
      <c r="I216" s="2">
        <f>Orders[[#This Row],[Price]]*Orders[[#This Row],[Quantity]]</f>
        <v>5640.93</v>
      </c>
    </row>
    <row r="217" spans="1:9" x14ac:dyDescent="0.25">
      <c r="A217" s="6">
        <v>216</v>
      </c>
      <c r="B217" s="11">
        <v>44941</v>
      </c>
      <c r="C217" s="3" t="s">
        <v>0</v>
      </c>
      <c r="D217" s="2">
        <v>1.99</v>
      </c>
      <c r="E217" s="2">
        <v>173</v>
      </c>
      <c r="F217" s="3" t="s">
        <v>2</v>
      </c>
      <c r="G217" s="2" t="s">
        <v>37</v>
      </c>
      <c r="H217" s="5" t="s">
        <v>23</v>
      </c>
      <c r="I217" s="2">
        <f>Orders[[#This Row],[Price]]*Orders[[#This Row],[Quantity]]</f>
        <v>344.27</v>
      </c>
    </row>
    <row r="218" spans="1:9" x14ac:dyDescent="0.25">
      <c r="A218" s="6">
        <v>217</v>
      </c>
      <c r="B218" s="11">
        <v>44941</v>
      </c>
      <c r="C218" s="2" t="s">
        <v>3</v>
      </c>
      <c r="D218" s="2">
        <v>1.99</v>
      </c>
      <c r="E218" s="2">
        <v>173</v>
      </c>
      <c r="F218" s="3" t="s">
        <v>2</v>
      </c>
      <c r="G218" s="2" t="s">
        <v>37</v>
      </c>
      <c r="H218" s="5" t="s">
        <v>23</v>
      </c>
      <c r="I218" s="2">
        <f>Orders[[#This Row],[Price]]*Orders[[#This Row],[Quantity]]</f>
        <v>344.27</v>
      </c>
    </row>
    <row r="219" spans="1:9" x14ac:dyDescent="0.25">
      <c r="A219" s="6">
        <v>218</v>
      </c>
      <c r="B219" s="11">
        <v>44941</v>
      </c>
      <c r="C219" s="2" t="s">
        <v>3</v>
      </c>
      <c r="D219" s="2">
        <v>3.99</v>
      </c>
      <c r="E219" s="2">
        <v>243</v>
      </c>
      <c r="F219" s="3" t="s">
        <v>2</v>
      </c>
      <c r="G219" s="2" t="s">
        <v>40</v>
      </c>
      <c r="H219" s="5" t="s">
        <v>9</v>
      </c>
      <c r="I219" s="2">
        <f>Orders[[#This Row],[Price]]*Orders[[#This Row],[Quantity]]</f>
        <v>969.57</v>
      </c>
    </row>
    <row r="220" spans="1:9" x14ac:dyDescent="0.25">
      <c r="A220" s="6">
        <v>219</v>
      </c>
      <c r="B220" s="11">
        <v>44941</v>
      </c>
      <c r="C220" s="3" t="s">
        <v>0</v>
      </c>
      <c r="D220" s="2">
        <v>3.99</v>
      </c>
      <c r="E220" s="2">
        <v>635</v>
      </c>
      <c r="F220" s="2" t="s">
        <v>7</v>
      </c>
      <c r="G220" s="2" t="s">
        <v>37</v>
      </c>
      <c r="H220" s="5" t="s">
        <v>23</v>
      </c>
      <c r="I220" s="2">
        <f>Orders[[#This Row],[Price]]*Orders[[#This Row],[Quantity]]</f>
        <v>2533.65</v>
      </c>
    </row>
    <row r="221" spans="1:9" x14ac:dyDescent="0.25">
      <c r="A221" s="6">
        <v>220</v>
      </c>
      <c r="B221" s="11">
        <v>44941</v>
      </c>
      <c r="C221" s="3" t="s">
        <v>0</v>
      </c>
      <c r="D221" s="2">
        <v>1.99</v>
      </c>
      <c r="E221" s="2">
        <v>568</v>
      </c>
      <c r="F221" s="2" t="s">
        <v>4</v>
      </c>
      <c r="G221" s="2" t="s">
        <v>35</v>
      </c>
      <c r="H221" s="5" t="s">
        <v>9</v>
      </c>
      <c r="I221" s="2">
        <f>Orders[[#This Row],[Price]]*Orders[[#This Row],[Quantity]]</f>
        <v>1130.32</v>
      </c>
    </row>
    <row r="222" spans="1:9" x14ac:dyDescent="0.25">
      <c r="A222" s="6">
        <v>221</v>
      </c>
      <c r="B222" s="11">
        <v>44941</v>
      </c>
      <c r="C222" s="3" t="s">
        <v>5</v>
      </c>
      <c r="D222" s="2">
        <v>1.99</v>
      </c>
      <c r="E222" s="2">
        <v>568</v>
      </c>
      <c r="F222" s="2" t="s">
        <v>4</v>
      </c>
      <c r="G222" s="2" t="s">
        <v>35</v>
      </c>
      <c r="H222" s="5" t="s">
        <v>9</v>
      </c>
      <c r="I222" s="2">
        <f>Orders[[#This Row],[Price]]*Orders[[#This Row],[Quantity]]</f>
        <v>1130.32</v>
      </c>
    </row>
    <row r="223" spans="1:9" x14ac:dyDescent="0.25">
      <c r="A223" s="6">
        <v>222</v>
      </c>
      <c r="B223" s="11">
        <v>44941</v>
      </c>
      <c r="C223" s="3" t="s">
        <v>0</v>
      </c>
      <c r="D223" s="2">
        <v>6.99</v>
      </c>
      <c r="E223" s="2">
        <v>361</v>
      </c>
      <c r="F223" s="2" t="s">
        <v>4</v>
      </c>
      <c r="G223" s="2" t="s">
        <v>35</v>
      </c>
      <c r="H223" s="5" t="s">
        <v>21</v>
      </c>
      <c r="I223" s="2">
        <f>Orders[[#This Row],[Price]]*Orders[[#This Row],[Quantity]]</f>
        <v>2523.39</v>
      </c>
    </row>
    <row r="224" spans="1:9" x14ac:dyDescent="0.25">
      <c r="A224" s="6">
        <v>223</v>
      </c>
      <c r="B224" s="11">
        <v>44941</v>
      </c>
      <c r="C224" s="3" t="s">
        <v>5</v>
      </c>
      <c r="D224" s="2">
        <v>1.99</v>
      </c>
      <c r="E224" s="2">
        <v>416</v>
      </c>
      <c r="F224" s="2" t="s">
        <v>7</v>
      </c>
      <c r="G224" s="2" t="s">
        <v>30</v>
      </c>
      <c r="H224" s="5" t="s">
        <v>29</v>
      </c>
      <c r="I224" s="2">
        <f>Orders[[#This Row],[Price]]*Orders[[#This Row],[Quantity]]</f>
        <v>827.84</v>
      </c>
    </row>
    <row r="225" spans="1:9" x14ac:dyDescent="0.25">
      <c r="A225" s="6">
        <v>224</v>
      </c>
      <c r="B225" s="11">
        <v>44941</v>
      </c>
      <c r="C225" s="2" t="s">
        <v>6</v>
      </c>
      <c r="D225" s="2">
        <v>6.99</v>
      </c>
      <c r="E225" s="2">
        <v>305</v>
      </c>
      <c r="F225" s="3" t="s">
        <v>2</v>
      </c>
      <c r="G225" s="2" t="s">
        <v>22</v>
      </c>
      <c r="H225" s="5" t="s">
        <v>29</v>
      </c>
      <c r="I225" s="2">
        <f>Orders[[#This Row],[Price]]*Orders[[#This Row],[Quantity]]</f>
        <v>2131.9500000000003</v>
      </c>
    </row>
    <row r="226" spans="1:9" x14ac:dyDescent="0.25">
      <c r="A226" s="6">
        <v>225</v>
      </c>
      <c r="B226" s="11">
        <v>44942</v>
      </c>
      <c r="C226" s="2" t="s">
        <v>6</v>
      </c>
      <c r="D226" s="2">
        <v>12.99</v>
      </c>
      <c r="E226" s="2">
        <v>889</v>
      </c>
      <c r="F226" s="3" t="s">
        <v>2</v>
      </c>
      <c r="G226" s="2" t="s">
        <v>24</v>
      </c>
      <c r="H226" s="5" t="s">
        <v>33</v>
      </c>
      <c r="I226" s="2">
        <f>Orders[[#This Row],[Price]]*Orders[[#This Row],[Quantity]]</f>
        <v>11548.11</v>
      </c>
    </row>
    <row r="227" spans="1:9" x14ac:dyDescent="0.25">
      <c r="A227" s="6">
        <v>226</v>
      </c>
      <c r="B227" s="11">
        <v>44942</v>
      </c>
      <c r="C227" s="2" t="s">
        <v>6</v>
      </c>
      <c r="D227" s="2">
        <v>12.99</v>
      </c>
      <c r="E227" s="2">
        <v>665</v>
      </c>
      <c r="F227" s="3" t="s">
        <v>2</v>
      </c>
      <c r="G227" s="2" t="s">
        <v>24</v>
      </c>
      <c r="H227" s="5" t="s">
        <v>33</v>
      </c>
      <c r="I227" s="2">
        <f>Orders[[#This Row],[Price]]*Orders[[#This Row],[Quantity]]</f>
        <v>8638.35</v>
      </c>
    </row>
    <row r="228" spans="1:9" x14ac:dyDescent="0.25">
      <c r="A228" s="6">
        <v>227</v>
      </c>
      <c r="B228" s="11">
        <v>44942</v>
      </c>
      <c r="C228" s="2" t="s">
        <v>3</v>
      </c>
      <c r="D228" s="2">
        <v>12.99</v>
      </c>
      <c r="E228" s="2">
        <v>706</v>
      </c>
      <c r="F228" s="2" t="s">
        <v>7</v>
      </c>
      <c r="G228" s="2" t="s">
        <v>27</v>
      </c>
      <c r="H228" s="5" t="s">
        <v>29</v>
      </c>
      <c r="I228" s="2">
        <f>Orders[[#This Row],[Price]]*Orders[[#This Row],[Quantity]]</f>
        <v>9170.94</v>
      </c>
    </row>
    <row r="229" spans="1:9" x14ac:dyDescent="0.25">
      <c r="A229" s="6">
        <v>228</v>
      </c>
      <c r="B229" s="11">
        <v>44942</v>
      </c>
      <c r="C229" s="2" t="s">
        <v>6</v>
      </c>
      <c r="D229" s="2">
        <v>3.99</v>
      </c>
      <c r="E229" s="2">
        <v>651</v>
      </c>
      <c r="F229" s="2" t="s">
        <v>4</v>
      </c>
      <c r="G229" s="2" t="s">
        <v>37</v>
      </c>
      <c r="H229" s="5" t="s">
        <v>34</v>
      </c>
      <c r="I229" s="2">
        <f>Orders[[#This Row],[Price]]*Orders[[#This Row],[Quantity]]</f>
        <v>2597.4900000000002</v>
      </c>
    </row>
    <row r="230" spans="1:9" x14ac:dyDescent="0.25">
      <c r="A230" s="6">
        <v>229</v>
      </c>
      <c r="B230" s="11">
        <v>44942</v>
      </c>
      <c r="C230" s="2" t="s">
        <v>6</v>
      </c>
      <c r="D230" s="2">
        <v>12.99</v>
      </c>
      <c r="E230" s="2">
        <v>387</v>
      </c>
      <c r="F230" s="3" t="s">
        <v>2</v>
      </c>
      <c r="G230" s="2" t="s">
        <v>35</v>
      </c>
      <c r="H230" s="5" t="s">
        <v>29</v>
      </c>
      <c r="I230" s="2">
        <f>Orders[[#This Row],[Price]]*Orders[[#This Row],[Quantity]]</f>
        <v>5027.13</v>
      </c>
    </row>
    <row r="231" spans="1:9" x14ac:dyDescent="0.25">
      <c r="A231" s="6">
        <v>230</v>
      </c>
      <c r="B231" s="11">
        <v>44942</v>
      </c>
      <c r="C231" s="3" t="s">
        <v>5</v>
      </c>
      <c r="D231" s="2">
        <v>12.99</v>
      </c>
      <c r="E231" s="2">
        <v>387</v>
      </c>
      <c r="F231" s="3" t="s">
        <v>2</v>
      </c>
      <c r="G231" s="2" t="s">
        <v>35</v>
      </c>
      <c r="H231" s="5" t="s">
        <v>29</v>
      </c>
      <c r="I231" s="2">
        <f>Orders[[#This Row],[Price]]*Orders[[#This Row],[Quantity]]</f>
        <v>5027.13</v>
      </c>
    </row>
    <row r="232" spans="1:9" x14ac:dyDescent="0.25">
      <c r="A232" s="6">
        <v>231</v>
      </c>
      <c r="B232" s="11">
        <v>44942</v>
      </c>
      <c r="C232" s="2" t="s">
        <v>6</v>
      </c>
      <c r="D232" s="2">
        <v>6.99</v>
      </c>
      <c r="E232" s="2">
        <v>194</v>
      </c>
      <c r="F232" s="3" t="s">
        <v>2</v>
      </c>
      <c r="G232" s="2" t="s">
        <v>28</v>
      </c>
      <c r="H232" s="5" t="s">
        <v>21</v>
      </c>
      <c r="I232" s="2">
        <f>Orders[[#This Row],[Price]]*Orders[[#This Row],[Quantity]]</f>
        <v>1356.06</v>
      </c>
    </row>
    <row r="233" spans="1:9" x14ac:dyDescent="0.25">
      <c r="A233" s="6">
        <v>232</v>
      </c>
      <c r="B233" s="11">
        <v>44942</v>
      </c>
      <c r="C233" s="2" t="s">
        <v>3</v>
      </c>
      <c r="D233" s="2">
        <v>12.99</v>
      </c>
      <c r="E233" s="2">
        <v>351</v>
      </c>
      <c r="F233" s="2" t="s">
        <v>7</v>
      </c>
      <c r="G233" s="2" t="s">
        <v>35</v>
      </c>
      <c r="H233" s="5" t="s">
        <v>29</v>
      </c>
      <c r="I233" s="2">
        <f>Orders[[#This Row],[Price]]*Orders[[#This Row],[Quantity]]</f>
        <v>4559.49</v>
      </c>
    </row>
    <row r="234" spans="1:9" x14ac:dyDescent="0.25">
      <c r="A234" s="6">
        <v>233</v>
      </c>
      <c r="B234" s="11">
        <v>44942</v>
      </c>
      <c r="C234" s="3" t="s">
        <v>0</v>
      </c>
      <c r="D234" s="2">
        <v>3.99</v>
      </c>
      <c r="E234" s="2">
        <v>223</v>
      </c>
      <c r="F234" s="3" t="s">
        <v>2</v>
      </c>
      <c r="G234" s="2" t="s">
        <v>28</v>
      </c>
      <c r="H234" s="5" t="s">
        <v>32</v>
      </c>
      <c r="I234" s="2">
        <f>Orders[[#This Row],[Price]]*Orders[[#This Row],[Quantity]]</f>
        <v>889.7700000000001</v>
      </c>
    </row>
    <row r="235" spans="1:9" x14ac:dyDescent="0.25">
      <c r="A235" s="6">
        <v>234</v>
      </c>
      <c r="B235" s="11">
        <v>44942</v>
      </c>
      <c r="C235" s="3" t="s">
        <v>0</v>
      </c>
      <c r="D235" s="2">
        <v>1.99</v>
      </c>
      <c r="E235" s="2">
        <v>397</v>
      </c>
      <c r="F235" s="2" t="s">
        <v>7</v>
      </c>
      <c r="G235" s="2" t="s">
        <v>31</v>
      </c>
      <c r="H235" s="5" t="s">
        <v>19</v>
      </c>
      <c r="I235" s="2">
        <f>Orders[[#This Row],[Price]]*Orders[[#This Row],[Quantity]]</f>
        <v>790.03</v>
      </c>
    </row>
    <row r="236" spans="1:9" x14ac:dyDescent="0.25">
      <c r="A236" s="6">
        <v>235</v>
      </c>
      <c r="B236" s="11">
        <v>44942</v>
      </c>
      <c r="C236" s="2" t="s">
        <v>6</v>
      </c>
      <c r="D236" s="2">
        <v>1.99</v>
      </c>
      <c r="E236" s="2">
        <v>485</v>
      </c>
      <c r="F236" s="2" t="s">
        <v>4</v>
      </c>
      <c r="G236" s="2" t="s">
        <v>18</v>
      </c>
      <c r="H236" s="5" t="s">
        <v>29</v>
      </c>
      <c r="I236" s="2">
        <f>Orders[[#This Row],[Price]]*Orders[[#This Row],[Quantity]]</f>
        <v>965.15</v>
      </c>
    </row>
    <row r="237" spans="1:9" x14ac:dyDescent="0.25">
      <c r="A237" s="6">
        <v>236</v>
      </c>
      <c r="B237" s="11">
        <v>44942</v>
      </c>
      <c r="C237" s="2" t="s">
        <v>3</v>
      </c>
      <c r="D237" s="2">
        <v>12.99</v>
      </c>
      <c r="E237" s="2">
        <v>556</v>
      </c>
      <c r="F237" s="2" t="s">
        <v>7</v>
      </c>
      <c r="G237" s="2" t="s">
        <v>35</v>
      </c>
      <c r="H237" s="5" t="s">
        <v>34</v>
      </c>
      <c r="I237" s="2">
        <f>Orders[[#This Row],[Price]]*Orders[[#This Row],[Quantity]]</f>
        <v>7222.4400000000005</v>
      </c>
    </row>
    <row r="238" spans="1:9" x14ac:dyDescent="0.25">
      <c r="A238" s="6">
        <v>237</v>
      </c>
      <c r="B238" s="11">
        <v>44942</v>
      </c>
      <c r="C238" s="3" t="s">
        <v>0</v>
      </c>
      <c r="D238" s="2">
        <v>3.99</v>
      </c>
      <c r="E238" s="2">
        <v>609</v>
      </c>
      <c r="F238" s="3" t="s">
        <v>1</v>
      </c>
      <c r="G238" s="2" t="s">
        <v>27</v>
      </c>
      <c r="H238" s="5" t="s">
        <v>23</v>
      </c>
      <c r="I238" s="2">
        <f>Orders[[#This Row],[Price]]*Orders[[#This Row],[Quantity]]</f>
        <v>2429.9100000000003</v>
      </c>
    </row>
    <row r="239" spans="1:9" x14ac:dyDescent="0.25">
      <c r="A239" s="6">
        <v>238</v>
      </c>
      <c r="B239" s="11">
        <v>44942</v>
      </c>
      <c r="C239" s="2" t="s">
        <v>8</v>
      </c>
      <c r="D239" s="2">
        <v>1.99</v>
      </c>
      <c r="E239" s="2">
        <v>666</v>
      </c>
      <c r="F239" s="2" t="s">
        <v>4</v>
      </c>
      <c r="G239" s="2" t="s">
        <v>20</v>
      </c>
      <c r="H239" s="5" t="s">
        <v>21</v>
      </c>
      <c r="I239" s="2">
        <f>Orders[[#This Row],[Price]]*Orders[[#This Row],[Quantity]]</f>
        <v>1325.34</v>
      </c>
    </row>
    <row r="240" spans="1:9" x14ac:dyDescent="0.25">
      <c r="A240" s="6">
        <v>239</v>
      </c>
      <c r="B240" s="11">
        <v>44942</v>
      </c>
      <c r="C240" s="2" t="s">
        <v>3</v>
      </c>
      <c r="D240" s="2">
        <v>14.99</v>
      </c>
      <c r="E240" s="2">
        <v>596</v>
      </c>
      <c r="F240" s="2" t="s">
        <v>4</v>
      </c>
      <c r="G240" s="2" t="s">
        <v>40</v>
      </c>
      <c r="H240" s="5" t="s">
        <v>21</v>
      </c>
      <c r="I240" s="2">
        <f>Orders[[#This Row],[Price]]*Orders[[#This Row],[Quantity]]</f>
        <v>8934.0400000000009</v>
      </c>
    </row>
    <row r="241" spans="1:9" x14ac:dyDescent="0.25">
      <c r="A241" s="6">
        <v>240</v>
      </c>
      <c r="B241" s="11">
        <v>44942</v>
      </c>
      <c r="C241" s="2" t="s">
        <v>6</v>
      </c>
      <c r="D241" s="2">
        <v>3.99</v>
      </c>
      <c r="E241" s="2">
        <v>280</v>
      </c>
      <c r="F241" s="2" t="s">
        <v>7</v>
      </c>
      <c r="G241" s="2" t="s">
        <v>35</v>
      </c>
      <c r="H241" s="5" t="s">
        <v>33</v>
      </c>
      <c r="I241" s="2">
        <f>Orders[[#This Row],[Price]]*Orders[[#This Row],[Quantity]]</f>
        <v>1117.2</v>
      </c>
    </row>
    <row r="242" spans="1:9" x14ac:dyDescent="0.25">
      <c r="A242" s="6">
        <v>241</v>
      </c>
      <c r="B242" s="11">
        <v>44943</v>
      </c>
      <c r="C242" s="2" t="s">
        <v>3</v>
      </c>
      <c r="D242" s="2">
        <v>12.99</v>
      </c>
      <c r="E242" s="2">
        <v>611</v>
      </c>
      <c r="F242" s="2" t="s">
        <v>4</v>
      </c>
      <c r="G242" s="2" t="s">
        <v>18</v>
      </c>
      <c r="H242" s="5" t="s">
        <v>21</v>
      </c>
      <c r="I242" s="2">
        <f>Orders[[#This Row],[Price]]*Orders[[#This Row],[Quantity]]</f>
        <v>7936.89</v>
      </c>
    </row>
    <row r="243" spans="1:9" x14ac:dyDescent="0.25">
      <c r="A243" s="6">
        <v>242</v>
      </c>
      <c r="B243" s="11">
        <v>44943</v>
      </c>
      <c r="C243" s="2" t="s">
        <v>3</v>
      </c>
      <c r="D243" s="2">
        <v>3.99</v>
      </c>
      <c r="E243" s="2">
        <v>425</v>
      </c>
      <c r="F243" s="2" t="s">
        <v>7</v>
      </c>
      <c r="G243" s="2" t="s">
        <v>18</v>
      </c>
      <c r="H243" s="5" t="s">
        <v>19</v>
      </c>
      <c r="I243" s="2">
        <f>Orders[[#This Row],[Price]]*Orders[[#This Row],[Quantity]]</f>
        <v>1695.75</v>
      </c>
    </row>
    <row r="244" spans="1:9" x14ac:dyDescent="0.25">
      <c r="A244" s="6">
        <v>243</v>
      </c>
      <c r="B244" s="11">
        <v>44943</v>
      </c>
      <c r="C244" s="3" t="s">
        <v>5</v>
      </c>
      <c r="D244" s="2">
        <v>3.99</v>
      </c>
      <c r="E244" s="2">
        <v>181</v>
      </c>
      <c r="F244" s="2" t="s">
        <v>4</v>
      </c>
      <c r="G244" s="2" t="s">
        <v>50</v>
      </c>
      <c r="H244" s="5" t="s">
        <v>34</v>
      </c>
      <c r="I244" s="2">
        <f>Orders[[#This Row],[Price]]*Orders[[#This Row],[Quantity]]</f>
        <v>722.19</v>
      </c>
    </row>
    <row r="245" spans="1:9" x14ac:dyDescent="0.25">
      <c r="A245" s="6">
        <v>244</v>
      </c>
      <c r="B245" s="11">
        <v>44943</v>
      </c>
      <c r="C245" s="3" t="s">
        <v>0</v>
      </c>
      <c r="D245" s="2">
        <v>6.99</v>
      </c>
      <c r="E245" s="2">
        <v>200</v>
      </c>
      <c r="F245" s="2" t="s">
        <v>7</v>
      </c>
      <c r="G245" s="2" t="s">
        <v>35</v>
      </c>
      <c r="H245" s="5" t="s">
        <v>19</v>
      </c>
      <c r="I245" s="2">
        <f>Orders[[#This Row],[Price]]*Orders[[#This Row],[Quantity]]</f>
        <v>1398</v>
      </c>
    </row>
    <row r="246" spans="1:9" x14ac:dyDescent="0.25">
      <c r="A246" s="6">
        <v>245</v>
      </c>
      <c r="B246" s="11">
        <v>44943</v>
      </c>
      <c r="C246" s="2" t="s">
        <v>6</v>
      </c>
      <c r="D246" s="2">
        <v>1.99</v>
      </c>
      <c r="E246" s="2">
        <v>638</v>
      </c>
      <c r="F246" s="2" t="s">
        <v>7</v>
      </c>
      <c r="G246" s="2" t="s">
        <v>31</v>
      </c>
      <c r="H246" s="5" t="s">
        <v>33</v>
      </c>
      <c r="I246" s="2">
        <f>Orders[[#This Row],[Price]]*Orders[[#This Row],[Quantity]]</f>
        <v>1269.6199999999999</v>
      </c>
    </row>
    <row r="247" spans="1:9" x14ac:dyDescent="0.25">
      <c r="A247" s="6">
        <v>246</v>
      </c>
      <c r="B247" s="11">
        <v>44943</v>
      </c>
      <c r="C247" s="2" t="s">
        <v>3</v>
      </c>
      <c r="D247" s="2">
        <v>12.99</v>
      </c>
      <c r="E247" s="2">
        <v>597</v>
      </c>
      <c r="F247" s="2" t="s">
        <v>7</v>
      </c>
      <c r="G247" s="2" t="s">
        <v>27</v>
      </c>
      <c r="H247" s="5" t="s">
        <v>19</v>
      </c>
      <c r="I247" s="2">
        <f>Orders[[#This Row],[Price]]*Orders[[#This Row],[Quantity]]</f>
        <v>7755.03</v>
      </c>
    </row>
    <row r="248" spans="1:9" x14ac:dyDescent="0.25">
      <c r="A248" s="6">
        <v>247</v>
      </c>
      <c r="B248" s="11">
        <v>44943</v>
      </c>
      <c r="C248" s="2" t="s">
        <v>8</v>
      </c>
      <c r="D248" s="2">
        <v>3.99</v>
      </c>
      <c r="E248" s="2">
        <v>249</v>
      </c>
      <c r="F248" s="3" t="s">
        <v>1</v>
      </c>
      <c r="G248" s="2" t="s">
        <v>27</v>
      </c>
      <c r="H248" s="5" t="s">
        <v>32</v>
      </c>
      <c r="I248" s="2">
        <f>Orders[[#This Row],[Price]]*Orders[[#This Row],[Quantity]]</f>
        <v>993.5100000000001</v>
      </c>
    </row>
    <row r="249" spans="1:9" x14ac:dyDescent="0.25">
      <c r="A249" s="6">
        <v>248</v>
      </c>
      <c r="B249" s="11">
        <v>44943</v>
      </c>
      <c r="C249" s="2" t="s">
        <v>3</v>
      </c>
      <c r="D249" s="2">
        <v>14.99</v>
      </c>
      <c r="E249" s="2">
        <v>146</v>
      </c>
      <c r="F249" s="2" t="s">
        <v>7</v>
      </c>
      <c r="G249" s="2" t="s">
        <v>38</v>
      </c>
      <c r="H249" s="5" t="s">
        <v>29</v>
      </c>
      <c r="I249" s="2">
        <f>Orders[[#This Row],[Price]]*Orders[[#This Row],[Quantity]]</f>
        <v>2188.54</v>
      </c>
    </row>
    <row r="250" spans="1:9" x14ac:dyDescent="0.25">
      <c r="A250" s="6">
        <v>249</v>
      </c>
      <c r="B250" s="11">
        <v>44943</v>
      </c>
      <c r="C250" s="2" t="s">
        <v>6</v>
      </c>
      <c r="D250" s="2">
        <v>3.99</v>
      </c>
      <c r="E250" s="2">
        <v>414</v>
      </c>
      <c r="F250" s="2" t="s">
        <v>7</v>
      </c>
      <c r="G250" s="2" t="s">
        <v>27</v>
      </c>
      <c r="H250" s="5" t="s">
        <v>21</v>
      </c>
      <c r="I250" s="2">
        <f>Orders[[#This Row],[Price]]*Orders[[#This Row],[Quantity]]</f>
        <v>1651.8600000000001</v>
      </c>
    </row>
    <row r="251" spans="1:9" x14ac:dyDescent="0.25">
      <c r="A251" s="6">
        <v>250</v>
      </c>
      <c r="B251" s="11">
        <v>44943</v>
      </c>
      <c r="C251" s="3" t="s">
        <v>5</v>
      </c>
      <c r="D251" s="2">
        <v>12.99</v>
      </c>
      <c r="E251" s="2">
        <v>243</v>
      </c>
      <c r="F251" s="3" t="s">
        <v>2</v>
      </c>
      <c r="G251" s="2" t="s">
        <v>51</v>
      </c>
      <c r="H251" s="5" t="s">
        <v>33</v>
      </c>
      <c r="I251" s="2">
        <f>Orders[[#This Row],[Price]]*Orders[[#This Row],[Quantity]]</f>
        <v>3156.57</v>
      </c>
    </row>
    <row r="252" spans="1:9" x14ac:dyDescent="0.25">
      <c r="A252" s="6">
        <v>251</v>
      </c>
      <c r="B252" s="11">
        <v>44943</v>
      </c>
      <c r="C252" s="3" t="s">
        <v>5</v>
      </c>
      <c r="D252" s="2">
        <v>6.99</v>
      </c>
      <c r="E252" s="2">
        <v>603</v>
      </c>
      <c r="F252" s="2" t="s">
        <v>4</v>
      </c>
      <c r="G252" s="2" t="s">
        <v>31</v>
      </c>
      <c r="H252" s="5" t="s">
        <v>33</v>
      </c>
      <c r="I252" s="2">
        <f>Orders[[#This Row],[Price]]*Orders[[#This Row],[Quantity]]</f>
        <v>4214.97</v>
      </c>
    </row>
    <row r="253" spans="1:9" x14ac:dyDescent="0.25">
      <c r="A253" s="7">
        <v>252</v>
      </c>
      <c r="B253" s="12">
        <v>44943</v>
      </c>
      <c r="C253" s="8" t="s">
        <v>6</v>
      </c>
      <c r="D253" s="8">
        <v>6.99</v>
      </c>
      <c r="E253" s="8">
        <v>890</v>
      </c>
      <c r="F253" s="9" t="s">
        <v>1</v>
      </c>
      <c r="G253" s="8" t="s">
        <v>28</v>
      </c>
      <c r="H253" s="5" t="s">
        <v>23</v>
      </c>
      <c r="I253" s="8">
        <f>Orders[[#This Row],[Price]]*Orders[[#This Row],[Quantity]]</f>
        <v>6221.1</v>
      </c>
    </row>
  </sheetData>
  <mergeCells count="1">
    <mergeCell ref="L2:M2"/>
  </mergeCells>
  <phoneticPr fontId="3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0000D-C416-4D31-9B67-D2F5B0E110D4}">
  <dimension ref="A1:H31"/>
  <sheetViews>
    <sheetView zoomScale="80" zoomScaleNormal="80" workbookViewId="0">
      <selection activeCell="A7" sqref="A7:A11"/>
    </sheetView>
  </sheetViews>
  <sheetFormatPr defaultRowHeight="15" x14ac:dyDescent="0.25"/>
  <cols>
    <col min="1" max="1" width="28.42578125" bestFit="1" customWidth="1"/>
    <col min="2" max="2" width="15.5703125" bestFit="1" customWidth="1"/>
    <col min="3" max="3" width="4.42578125" customWidth="1"/>
    <col min="4" max="4" width="14.140625" style="15" bestFit="1" customWidth="1"/>
    <col min="5" max="5" width="15.85546875" style="15" bestFit="1" customWidth="1"/>
    <col min="6" max="6" width="4" customWidth="1"/>
    <col min="7" max="7" width="11.42578125" style="15" bestFit="1" customWidth="1"/>
    <col min="8" max="8" width="15.85546875" style="15" bestFit="1" customWidth="1"/>
    <col min="9" max="9" width="11.42578125" bestFit="1" customWidth="1"/>
    <col min="10" max="10" width="13.5703125" bestFit="1" customWidth="1"/>
    <col min="11" max="11" width="13.5703125" customWidth="1"/>
    <col min="12" max="12" width="6.140625" customWidth="1"/>
    <col min="13" max="13" width="14.140625" bestFit="1" customWidth="1"/>
    <col min="14" max="14" width="15.85546875" bestFit="1" customWidth="1"/>
  </cols>
  <sheetData>
    <row r="1" spans="1:5" x14ac:dyDescent="0.25">
      <c r="A1" s="16" t="s">
        <v>73</v>
      </c>
      <c r="B1" s="16" t="s">
        <v>74</v>
      </c>
    </row>
    <row r="2" spans="1:5" x14ac:dyDescent="0.25">
      <c r="A2" s="17" t="s">
        <v>68</v>
      </c>
      <c r="B2" s="17" t="s">
        <v>6</v>
      </c>
    </row>
    <row r="3" spans="1:5" x14ac:dyDescent="0.25">
      <c r="A3" s="17" t="s">
        <v>69</v>
      </c>
      <c r="B3" s="17"/>
      <c r="D3" s="18" t="s">
        <v>70</v>
      </c>
      <c r="E3" s="1" t="s">
        <v>75</v>
      </c>
    </row>
    <row r="4" spans="1:5" x14ac:dyDescent="0.25">
      <c r="A4" s="17" t="s">
        <v>76</v>
      </c>
      <c r="B4" s="17"/>
      <c r="D4" s="1" t="s">
        <v>29</v>
      </c>
      <c r="E4" s="20">
        <v>152707.91</v>
      </c>
    </row>
    <row r="5" spans="1:5" x14ac:dyDescent="0.25">
      <c r="D5" s="1" t="s">
        <v>19</v>
      </c>
      <c r="E5" s="20">
        <v>152093.1</v>
      </c>
    </row>
    <row r="6" spans="1:5" x14ac:dyDescent="0.25">
      <c r="A6" s="18" t="s">
        <v>70</v>
      </c>
      <c r="B6" s="1" t="s">
        <v>72</v>
      </c>
      <c r="D6" s="1" t="s">
        <v>23</v>
      </c>
      <c r="E6" s="20">
        <v>131076.07</v>
      </c>
    </row>
    <row r="7" spans="1:5" x14ac:dyDescent="0.25">
      <c r="A7" s="1" t="s">
        <v>6</v>
      </c>
      <c r="B7" s="19">
        <v>29751</v>
      </c>
      <c r="D7" s="1" t="s">
        <v>33</v>
      </c>
      <c r="E7" s="20">
        <v>119712.76000000001</v>
      </c>
    </row>
    <row r="8" spans="1:5" x14ac:dyDescent="0.25">
      <c r="A8" s="1" t="s">
        <v>8</v>
      </c>
      <c r="B8" s="19">
        <v>25548</v>
      </c>
      <c r="D8" s="1" t="s">
        <v>21</v>
      </c>
      <c r="E8" s="20">
        <v>117813.20000000001</v>
      </c>
    </row>
    <row r="9" spans="1:5" x14ac:dyDescent="0.25">
      <c r="A9" s="1" t="s">
        <v>3</v>
      </c>
      <c r="B9" s="19">
        <v>25445</v>
      </c>
      <c r="D9" s="1" t="s">
        <v>32</v>
      </c>
      <c r="E9" s="20">
        <v>117420.54999999999</v>
      </c>
    </row>
    <row r="10" spans="1:5" x14ac:dyDescent="0.25">
      <c r="A10" s="1" t="s">
        <v>0</v>
      </c>
      <c r="B10" s="19">
        <v>24097</v>
      </c>
      <c r="D10" s="1" t="s">
        <v>34</v>
      </c>
      <c r="E10" s="20">
        <v>107107.84000000003</v>
      </c>
    </row>
    <row r="11" spans="1:5" x14ac:dyDescent="0.25">
      <c r="A11" s="1" t="s">
        <v>5</v>
      </c>
      <c r="B11" s="19">
        <v>18509</v>
      </c>
      <c r="D11" s="1" t="s">
        <v>9</v>
      </c>
      <c r="E11" s="20">
        <v>105729.07000000002</v>
      </c>
    </row>
    <row r="12" spans="1:5" x14ac:dyDescent="0.25">
      <c r="A12" s="1" t="s">
        <v>71</v>
      </c>
      <c r="B12" s="19">
        <v>123350</v>
      </c>
      <c r="D12" s="1" t="s">
        <v>71</v>
      </c>
      <c r="E12" s="20">
        <v>1003660.5000000002</v>
      </c>
    </row>
    <row r="14" spans="1:5" x14ac:dyDescent="0.25">
      <c r="A14" s="18" t="s">
        <v>11</v>
      </c>
      <c r="B14" s="1" t="s">
        <v>75</v>
      </c>
    </row>
    <row r="15" spans="1:5" x14ac:dyDescent="0.25">
      <c r="A15" s="21">
        <v>44927</v>
      </c>
      <c r="B15" s="19">
        <v>44255.7</v>
      </c>
    </row>
    <row r="16" spans="1:5" x14ac:dyDescent="0.25">
      <c r="A16" s="21">
        <v>44928</v>
      </c>
      <c r="B16" s="19">
        <v>51704.42</v>
      </c>
    </row>
    <row r="17" spans="1:2" x14ac:dyDescent="0.25">
      <c r="A17" s="21">
        <v>44929</v>
      </c>
      <c r="B17" s="19">
        <v>52201.510000000017</v>
      </c>
    </row>
    <row r="18" spans="1:2" x14ac:dyDescent="0.25">
      <c r="A18" s="21">
        <v>44930</v>
      </c>
      <c r="B18" s="19">
        <v>61842.79</v>
      </c>
    </row>
    <row r="19" spans="1:2" x14ac:dyDescent="0.25">
      <c r="A19" s="21">
        <v>44931</v>
      </c>
      <c r="B19" s="19">
        <v>54357.91</v>
      </c>
    </row>
    <row r="20" spans="1:2" x14ac:dyDescent="0.25">
      <c r="A20" s="21">
        <v>44932</v>
      </c>
      <c r="B20" s="19">
        <v>77924.650000000009</v>
      </c>
    </row>
    <row r="21" spans="1:2" x14ac:dyDescent="0.25">
      <c r="A21" s="21">
        <v>44933</v>
      </c>
      <c r="B21" s="19">
        <v>62851.7</v>
      </c>
    </row>
    <row r="22" spans="1:2" x14ac:dyDescent="0.25">
      <c r="A22" s="21">
        <v>44934</v>
      </c>
      <c r="B22" s="19">
        <v>80303.740000000005</v>
      </c>
    </row>
    <row r="23" spans="1:2" x14ac:dyDescent="0.25">
      <c r="A23" s="21">
        <v>44935</v>
      </c>
      <c r="B23" s="19">
        <v>54883.590000000004</v>
      </c>
    </row>
    <row r="24" spans="1:2" x14ac:dyDescent="0.25">
      <c r="A24" s="21">
        <v>44936</v>
      </c>
      <c r="B24" s="19">
        <v>83800.999999999985</v>
      </c>
    </row>
    <row r="25" spans="1:2" x14ac:dyDescent="0.25">
      <c r="A25" s="21">
        <v>44937</v>
      </c>
      <c r="B25" s="19">
        <v>47159.59</v>
      </c>
    </row>
    <row r="26" spans="1:2" x14ac:dyDescent="0.25">
      <c r="A26" s="21">
        <v>44938</v>
      </c>
      <c r="B26" s="19">
        <v>58510.77</v>
      </c>
    </row>
    <row r="27" spans="1:2" x14ac:dyDescent="0.25">
      <c r="A27" s="21">
        <v>44939</v>
      </c>
      <c r="B27" s="19">
        <v>45155.44</v>
      </c>
    </row>
    <row r="28" spans="1:2" x14ac:dyDescent="0.25">
      <c r="A28" s="21">
        <v>44940</v>
      </c>
      <c r="B28" s="19">
        <v>79599.400000000009</v>
      </c>
    </row>
    <row r="29" spans="1:2" x14ac:dyDescent="0.25">
      <c r="A29" s="21">
        <v>44941</v>
      </c>
      <c r="B29" s="19">
        <v>38305.68</v>
      </c>
    </row>
    <row r="30" spans="1:2" x14ac:dyDescent="0.25">
      <c r="A30" s="21">
        <v>44942</v>
      </c>
      <c r="B30" s="19">
        <v>71598.58</v>
      </c>
    </row>
    <row r="31" spans="1:2" x14ac:dyDescent="0.25">
      <c r="A31" s="21">
        <v>44943</v>
      </c>
      <c r="B31" s="19">
        <v>39204.03</v>
      </c>
    </row>
  </sheetData>
  <pageMargins left="0.7" right="0.7" top="0.75" bottom="0.75" header="0.3" footer="0.3"/>
  <drawing r:id="rId4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659FF-8568-4931-861C-4CF48F3E31AF}">
  <dimension ref="C4:M32"/>
  <sheetViews>
    <sheetView tabSelected="1" workbookViewId="0">
      <selection activeCell="F5" sqref="F5"/>
    </sheetView>
  </sheetViews>
  <sheetFormatPr defaultRowHeight="15" x14ac:dyDescent="0.25"/>
  <cols>
    <col min="3" max="3" width="14.7109375" bestFit="1" customWidth="1"/>
    <col min="4" max="4" width="14.5703125" bestFit="1" customWidth="1"/>
    <col min="13" max="13" width="16" bestFit="1" customWidth="1"/>
  </cols>
  <sheetData>
    <row r="4" spans="3:13" x14ac:dyDescent="0.25">
      <c r="C4" s="23" t="s">
        <v>16</v>
      </c>
      <c r="D4" s="23" t="s">
        <v>37</v>
      </c>
      <c r="M4" s="13" t="s">
        <v>70</v>
      </c>
    </row>
    <row r="5" spans="3:13" x14ac:dyDescent="0.25">
      <c r="C5" s="4"/>
      <c r="D5" s="4"/>
      <c r="M5" s="14" t="s">
        <v>22</v>
      </c>
    </row>
    <row r="6" spans="3:13" x14ac:dyDescent="0.25">
      <c r="C6" s="1" t="s">
        <v>6</v>
      </c>
      <c r="D6" s="1">
        <f>SUMIFS(Orders[Revenue],Orders[Manager2], $D$4,Orders[Product],$C6)</f>
        <v>10782.32</v>
      </c>
      <c r="M6" s="14" t="s">
        <v>37</v>
      </c>
    </row>
    <row r="7" spans="3:13" x14ac:dyDescent="0.25">
      <c r="C7" s="1" t="s">
        <v>8</v>
      </c>
      <c r="D7" s="1">
        <f>SUMIFS(Orders[Revenue],Orders[Manager2], $D$4,Orders[Product],$C7)</f>
        <v>0</v>
      </c>
      <c r="M7" s="14" t="s">
        <v>50</v>
      </c>
    </row>
    <row r="8" spans="3:13" x14ac:dyDescent="0.25">
      <c r="C8" s="1" t="s">
        <v>3</v>
      </c>
      <c r="D8" s="1">
        <f>SUMIFS(Orders[Revenue],Orders[Manager2], $D$4,Orders[Product],$C8)</f>
        <v>12070.66</v>
      </c>
      <c r="M8" s="14" t="s">
        <v>49</v>
      </c>
    </row>
    <row r="9" spans="3:13" x14ac:dyDescent="0.25">
      <c r="C9" s="1" t="s">
        <v>0</v>
      </c>
      <c r="D9" s="1">
        <f>SUMIFS(Orders[Revenue],Orders[Manager2], $D$4,Orders[Product],$C9)</f>
        <v>23788.970000000005</v>
      </c>
      <c r="M9" s="14" t="s">
        <v>18</v>
      </c>
    </row>
    <row r="10" spans="3:13" x14ac:dyDescent="0.25">
      <c r="C10" s="1" t="s">
        <v>5</v>
      </c>
      <c r="D10" s="1">
        <f>SUMIFS(Orders[Revenue],Orders[Manager2], $D$4,Orders[Product],$C10)</f>
        <v>9900.4599999999991</v>
      </c>
      <c r="M10" s="14" t="s">
        <v>42</v>
      </c>
    </row>
    <row r="11" spans="3:13" x14ac:dyDescent="0.25">
      <c r="M11" s="14" t="s">
        <v>25</v>
      </c>
    </row>
    <row r="12" spans="3:13" x14ac:dyDescent="0.25">
      <c r="C12" s="22" t="s">
        <v>77</v>
      </c>
      <c r="D12" s="22">
        <f>SUM(D6:D10)</f>
        <v>56542.41</v>
      </c>
      <c r="M12" s="14" t="s">
        <v>38</v>
      </c>
    </row>
    <row r="13" spans="3:13" x14ac:dyDescent="0.25">
      <c r="M13" s="14" t="s">
        <v>41</v>
      </c>
    </row>
    <row r="14" spans="3:13" x14ac:dyDescent="0.25">
      <c r="M14" s="14" t="s">
        <v>40</v>
      </c>
    </row>
    <row r="15" spans="3:13" x14ac:dyDescent="0.25">
      <c r="M15" s="14" t="s">
        <v>47</v>
      </c>
    </row>
    <row r="16" spans="3:13" x14ac:dyDescent="0.25">
      <c r="M16" s="14" t="s">
        <v>48</v>
      </c>
    </row>
    <row r="17" spans="13:13" x14ac:dyDescent="0.25">
      <c r="M17" s="14" t="s">
        <v>44</v>
      </c>
    </row>
    <row r="18" spans="13:13" x14ac:dyDescent="0.25">
      <c r="M18" s="14" t="s">
        <v>31</v>
      </c>
    </row>
    <row r="19" spans="13:13" x14ac:dyDescent="0.25">
      <c r="M19" s="14" t="s">
        <v>51</v>
      </c>
    </row>
    <row r="20" spans="13:13" x14ac:dyDescent="0.25">
      <c r="M20" s="14" t="s">
        <v>45</v>
      </c>
    </row>
    <row r="21" spans="13:13" x14ac:dyDescent="0.25">
      <c r="M21" s="14" t="s">
        <v>46</v>
      </c>
    </row>
    <row r="22" spans="13:13" x14ac:dyDescent="0.25">
      <c r="M22" s="14" t="s">
        <v>27</v>
      </c>
    </row>
    <row r="23" spans="13:13" x14ac:dyDescent="0.25">
      <c r="M23" s="14" t="s">
        <v>39</v>
      </c>
    </row>
    <row r="24" spans="13:13" x14ac:dyDescent="0.25">
      <c r="M24" s="14" t="s">
        <v>36</v>
      </c>
    </row>
    <row r="25" spans="13:13" x14ac:dyDescent="0.25">
      <c r="M25" s="14" t="s">
        <v>35</v>
      </c>
    </row>
    <row r="26" spans="13:13" x14ac:dyDescent="0.25">
      <c r="M26" s="14" t="s">
        <v>26</v>
      </c>
    </row>
    <row r="27" spans="13:13" x14ac:dyDescent="0.25">
      <c r="M27" s="14" t="s">
        <v>24</v>
      </c>
    </row>
    <row r="28" spans="13:13" x14ac:dyDescent="0.25">
      <c r="M28" s="14" t="s">
        <v>20</v>
      </c>
    </row>
    <row r="29" spans="13:13" x14ac:dyDescent="0.25">
      <c r="M29" s="14" t="s">
        <v>30</v>
      </c>
    </row>
    <row r="30" spans="13:13" x14ac:dyDescent="0.25">
      <c r="M30" s="14" t="s">
        <v>28</v>
      </c>
    </row>
    <row r="31" spans="13:13" x14ac:dyDescent="0.25">
      <c r="M31" s="14" t="s">
        <v>43</v>
      </c>
    </row>
    <row r="32" spans="13:13" x14ac:dyDescent="0.25">
      <c r="M32" s="14" t="s">
        <v>71</v>
      </c>
    </row>
  </sheetData>
  <conditionalFormatting sqref="D6:D1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{BF33EB59-31D7-4187-8544-7E74EB306AB9}</x14:id>
        </ext>
      </extLst>
    </cfRule>
  </conditionalFormatting>
  <dataValidations count="1">
    <dataValidation type="list" allowBlank="1" showInputMessage="1" showErrorMessage="1" sqref="D4" xr:uid="{8892B7CB-CA26-4DB3-B569-FC8A87D04C65}">
      <formula1>$M$5:$M$32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F33EB59-31D7-4187-8544-7E74EB306A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D6:D10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Analyst</vt:lpstr>
      <vt:lpstr>Reporting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Tharun iniyan</dc:creator>
  <cp:lastModifiedBy>Tharun iniyan</cp:lastModifiedBy>
  <dcterms:created xsi:type="dcterms:W3CDTF">2026-06-28T18:32:15Z</dcterms:created>
  <dcterms:modified xsi:type="dcterms:W3CDTF">2026-06-29T08:05:12Z</dcterms:modified>
</cp:coreProperties>
</file>